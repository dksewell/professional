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BIO\Admin\emilystagman\Faculty Reviews and Promotions\Promotion-Tenure 2024-2025\Dan Sewell\"/>
    </mc:Choice>
  </mc:AlternateContent>
  <xr:revisionPtr revIDLastSave="0" documentId="13_ncr:1_{EA26421A-1086-4140-A612-C84A213B4BD0}" xr6:coauthVersionLast="47" xr6:coauthVersionMax="47" xr10:uidLastSave="{00000000-0000-0000-0000-000000000000}"/>
  <bookViews>
    <workbookView xWindow="18780" yWindow="7755" windowWidth="13500" windowHeight="17385" xr2:uid="{DF5C53E1-FE4C-462B-8D13-36331EB08E55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8" i="6" l="1"/>
  <c r="F68" i="6"/>
  <c r="G68" i="6"/>
  <c r="H68" i="6"/>
  <c r="I68" i="6"/>
  <c r="D68" i="6"/>
  <c r="E67" i="6"/>
  <c r="F67" i="6"/>
  <c r="G67" i="6"/>
  <c r="H67" i="6"/>
  <c r="I67" i="6"/>
  <c r="D67" i="6"/>
  <c r="E66" i="6"/>
  <c r="F66" i="6"/>
  <c r="G66" i="6"/>
  <c r="H66" i="6"/>
  <c r="I66" i="6"/>
  <c r="D66" i="6"/>
  <c r="J64" i="6"/>
  <c r="J63" i="6"/>
  <c r="J62" i="6"/>
  <c r="J61" i="6"/>
  <c r="J60" i="6"/>
  <c r="E52" i="6"/>
  <c r="F52" i="6"/>
  <c r="G52" i="6"/>
  <c r="H52" i="6"/>
  <c r="I52" i="6"/>
  <c r="D52" i="6"/>
  <c r="J50" i="6"/>
  <c r="J49" i="6"/>
  <c r="J52" i="6" s="1"/>
  <c r="E42" i="6"/>
  <c r="F42" i="6"/>
  <c r="G42" i="6"/>
  <c r="H42" i="6"/>
  <c r="I42" i="6"/>
  <c r="D42" i="6"/>
  <c r="E41" i="6"/>
  <c r="F41" i="6"/>
  <c r="G41" i="6"/>
  <c r="H41" i="6"/>
  <c r="I41" i="6"/>
  <c r="D41" i="6"/>
  <c r="E40" i="6"/>
  <c r="F40" i="6"/>
  <c r="G40" i="6"/>
  <c r="H40" i="6"/>
  <c r="I40" i="6"/>
  <c r="D40" i="6"/>
  <c r="E39" i="6"/>
  <c r="F39" i="6"/>
  <c r="G39" i="6"/>
  <c r="H39" i="6"/>
  <c r="I39" i="6"/>
  <c r="D39" i="6"/>
  <c r="J37" i="6"/>
  <c r="J36" i="6"/>
  <c r="J35" i="6"/>
  <c r="J41" i="6" s="1"/>
  <c r="J34" i="6"/>
  <c r="J39" i="6" s="1"/>
  <c r="E28" i="6"/>
  <c r="F28" i="6"/>
  <c r="G28" i="6"/>
  <c r="H28" i="6"/>
  <c r="I28" i="6"/>
  <c r="D28" i="6"/>
  <c r="E27" i="6"/>
  <c r="F27" i="6"/>
  <c r="G27" i="6"/>
  <c r="H27" i="6"/>
  <c r="I27" i="6"/>
  <c r="D27" i="6"/>
  <c r="E26" i="6"/>
  <c r="F26" i="6"/>
  <c r="G26" i="6"/>
  <c r="H26" i="6"/>
  <c r="I26" i="6"/>
  <c r="D26" i="6"/>
  <c r="E25" i="6"/>
  <c r="F25" i="6"/>
  <c r="G25" i="6"/>
  <c r="H25" i="6"/>
  <c r="I25" i="6"/>
  <c r="D25" i="6"/>
  <c r="J23" i="6"/>
  <c r="J22" i="6"/>
  <c r="J21" i="6"/>
  <c r="J25" i="6" s="1"/>
  <c r="J20" i="6"/>
  <c r="J68" i="6" l="1"/>
  <c r="J66" i="6"/>
  <c r="J67" i="6"/>
  <c r="J40" i="6"/>
  <c r="J28" i="6"/>
  <c r="J42" i="6"/>
  <c r="J27" i="6"/>
  <c r="J26" i="6"/>
</calcChain>
</file>

<file path=xl/sharedStrings.xml><?xml version="1.0" encoding="utf-8"?>
<sst xmlns="http://schemas.openxmlformats.org/spreadsheetml/2006/main" count="114" uniqueCount="55">
  <si>
    <t>Semester</t>
  </si>
  <si>
    <t>Rank</t>
  </si>
  <si>
    <t>Associate Professor</t>
  </si>
  <si>
    <t>Assistant Professor</t>
  </si>
  <si>
    <t>9/9</t>
  </si>
  <si>
    <t>Professor</t>
  </si>
  <si>
    <t>10/11</t>
  </si>
  <si>
    <t>Size</t>
  </si>
  <si>
    <t>Q1</t>
  </si>
  <si>
    <t>Q2</t>
  </si>
  <si>
    <t>Q3</t>
  </si>
  <si>
    <t>Q4</t>
  </si>
  <si>
    <t>Q5</t>
  </si>
  <si>
    <t>Q6</t>
  </si>
  <si>
    <t>AVG</t>
  </si>
  <si>
    <t>Fall 2020</t>
  </si>
  <si>
    <t>14/20</t>
  </si>
  <si>
    <t>Fall 2021</t>
  </si>
  <si>
    <t>7/13</t>
  </si>
  <si>
    <t>Fall 2022</t>
  </si>
  <si>
    <t>7/11</t>
  </si>
  <si>
    <t>Fall 2023</t>
  </si>
  <si>
    <t>4/10</t>
  </si>
  <si>
    <t>Spring 2021</t>
  </si>
  <si>
    <t>13/17</t>
  </si>
  <si>
    <t>Spring 2022</t>
  </si>
  <si>
    <t>Spring 2023</t>
  </si>
  <si>
    <t>9/12</t>
  </si>
  <si>
    <t>Spring 2024</t>
  </si>
  <si>
    <t>19/23</t>
  </si>
  <si>
    <t>12/16</t>
  </si>
  <si>
    <t>7/8</t>
  </si>
  <si>
    <t>11/19</t>
  </si>
  <si>
    <t>8/11</t>
  </si>
  <si>
    <t>10/19</t>
  </si>
  <si>
    <t>7/15</t>
  </si>
  <si>
    <t>Analysis by course:</t>
  </si>
  <si>
    <t>BIOS:6810</t>
  </si>
  <si>
    <t>Bayesian Methods and Design</t>
  </si>
  <si>
    <t>BIOS:5710</t>
  </si>
  <si>
    <t>Biostatistical Methods I</t>
  </si>
  <si>
    <t>Averages including Dr. Sewell:</t>
  </si>
  <si>
    <t>Dr. Sewell's averages:</t>
  </si>
  <si>
    <t>Avgs for Assistant Prof excl. Dr. Sewell:</t>
  </si>
  <si>
    <t>Averages excluding Dr. Sewell:</t>
  </si>
  <si>
    <t>Avgs for Associate Prof excl. Dr. Sewell:</t>
  </si>
  <si>
    <t>BIOS:5720</t>
  </si>
  <si>
    <t>Biostatistical Methods II</t>
  </si>
  <si>
    <t>Dr. Sewell has been the sole instructor for this course post-Fall 2020; no comparison information available.</t>
  </si>
  <si>
    <t>BIOS:7600</t>
  </si>
  <si>
    <t>Advanced Biostat Seminar</t>
  </si>
  <si>
    <t>FY 2021 through FY 2024 - including information from new Student Core Questions only</t>
  </si>
  <si>
    <t>Dr. Sewell has been the sole Associate Professor to teach this course post-Fall 2020; no comparison information available.</t>
  </si>
  <si>
    <t>Dr. Sewell has been the sole Assistant and/or Associate Professor to teach this course post-Fall 2020; no comparison information available.</t>
  </si>
  <si>
    <t>Dr. Daniel Sewell: ACE Comparisons for Promotion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</si>
</sst>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8CCEB5"/>
        <bgColor indexed="64"/>
      </patternFill>
    </fill>
    <fill>
      <patternFill patternType="solid">
        <fgColor rgb="FF89A5FF"/>
        <bgColor indexed="64"/>
      </patternFill>
    </fill>
    <fill>
      <patternFill patternType="solid">
        <fgColor rgb="FFDAA8D0"/>
        <bgColor indexed="64"/>
      </patternFill>
    </fill>
  </fills>
  <borders count="16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49" fontId="0" fillId="0" borderId="11" xfId="0" applyNumberFormat="1" applyBorder="1" applyAlignment="1">
      <alignment horizontal="center"/>
    </xf>
    <xf numFmtId="0" fontId="0" fillId="0" borderId="11" xfId="0" applyBorder="1"/>
    <xf numFmtId="49" fontId="0" fillId="0" borderId="0" xfId="0" applyNumberFormat="1" applyAlignment="1">
      <alignment horizontal="center"/>
    </xf>
    <xf numFmtId="49" fontId="0" fillId="0" borderId="5" xfId="0" quotePrefix="1" applyNumberFormat="1" applyBorder="1" applyAlignment="1">
      <alignment horizontal="center"/>
    </xf>
    <xf numFmtId="0" fontId="0" fillId="2" borderId="7" xfId="0" applyFill="1" applyBorder="1"/>
    <xf numFmtId="16" fontId="0" fillId="2" borderId="8" xfId="0" quotePrefix="1" applyNumberFormat="1" applyFill="1" applyBorder="1" applyAlignment="1">
      <alignment horizontal="center"/>
    </xf>
    <xf numFmtId="0" fontId="0" fillId="2" borderId="8" xfId="0" applyFill="1" applyBorder="1"/>
    <xf numFmtId="0" fontId="0" fillId="0" borderId="8" xfId="0" quotePrefix="1" applyBorder="1" applyAlignment="1">
      <alignment horizontal="center"/>
    </xf>
    <xf numFmtId="0" fontId="1" fillId="0" borderId="0" xfId="0" applyFont="1"/>
    <xf numFmtId="0" fontId="1" fillId="0" borderId="10" xfId="0" applyFont="1" applyBorder="1"/>
    <xf numFmtId="0" fontId="1" fillId="0" borderId="11" xfId="0" applyFont="1" applyBorder="1"/>
    <xf numFmtId="2" fontId="1" fillId="0" borderId="0" xfId="0" applyNumberFormat="1" applyFont="1" applyAlignment="1">
      <alignment horizontal="center"/>
    </xf>
    <xf numFmtId="2" fontId="1" fillId="0" borderId="3" xfId="0" applyNumberFormat="1" applyFont="1" applyBorder="1" applyAlignment="1">
      <alignment horizontal="center"/>
    </xf>
    <xf numFmtId="16" fontId="1" fillId="0" borderId="11" xfId="0" quotePrefix="1" applyNumberFormat="1" applyFont="1" applyBorder="1" applyAlignment="1">
      <alignment horizontal="center"/>
    </xf>
    <xf numFmtId="0" fontId="0" fillId="2" borderId="4" xfId="0" applyFill="1" applyBorder="1"/>
    <xf numFmtId="49" fontId="0" fillId="2" borderId="5" xfId="0" quotePrefix="1" applyNumberFormat="1" applyFill="1" applyBorder="1" applyAlignment="1">
      <alignment horizontal="center"/>
    </xf>
    <xf numFmtId="0" fontId="0" fillId="2" borderId="5" xfId="0" applyFill="1" applyBorder="1"/>
    <xf numFmtId="49" fontId="0" fillId="2" borderId="8" xfId="0" applyNumberFormat="1" applyFill="1" applyBorder="1" applyAlignment="1">
      <alignment horizontal="center"/>
    </xf>
    <xf numFmtId="0" fontId="1" fillId="2" borderId="7" xfId="0" applyFont="1" applyFill="1" applyBorder="1"/>
    <xf numFmtId="49" fontId="1" fillId="2" borderId="8" xfId="0" applyNumberFormat="1" applyFont="1" applyFill="1" applyBorder="1" applyAlignment="1">
      <alignment horizontal="center"/>
    </xf>
    <xf numFmtId="0" fontId="1" fillId="2" borderId="8" xfId="0" applyFont="1" applyFill="1" applyBorder="1"/>
    <xf numFmtId="0" fontId="1" fillId="2" borderId="13" xfId="0" applyFont="1" applyFill="1" applyBorder="1"/>
    <xf numFmtId="16" fontId="1" fillId="2" borderId="14" xfId="0" quotePrefix="1" applyNumberFormat="1" applyFont="1" applyFill="1" applyBorder="1" applyAlignment="1">
      <alignment horizontal="center"/>
    </xf>
    <xf numFmtId="0" fontId="1" fillId="2" borderId="14" xfId="0" applyFont="1" applyFill="1" applyBorder="1"/>
    <xf numFmtId="0" fontId="0" fillId="2" borderId="13" xfId="0" applyFill="1" applyBorder="1"/>
    <xf numFmtId="16" fontId="0" fillId="2" borderId="14" xfId="0" quotePrefix="1" applyNumberFormat="1" applyFill="1" applyBorder="1" applyAlignment="1">
      <alignment horizontal="center"/>
    </xf>
    <xf numFmtId="0" fontId="0" fillId="2" borderId="14" xfId="0" applyFill="1" applyBorder="1"/>
    <xf numFmtId="49" fontId="1" fillId="2" borderId="14" xfId="0" quotePrefix="1" applyNumberFormat="1" applyFont="1" applyFill="1" applyBorder="1" applyAlignment="1">
      <alignment horizontal="center"/>
    </xf>
    <xf numFmtId="0" fontId="1" fillId="0" borderId="13" xfId="0" applyFont="1" applyBorder="1"/>
    <xf numFmtId="16" fontId="1" fillId="0" borderId="14" xfId="0" quotePrefix="1" applyNumberFormat="1" applyFont="1" applyBorder="1" applyAlignment="1">
      <alignment horizontal="center"/>
    </xf>
    <xf numFmtId="0" fontId="1" fillId="0" borderId="14" xfId="0" applyFont="1" applyBorder="1"/>
    <xf numFmtId="2" fontId="0" fillId="5" borderId="0" xfId="0" applyNumberFormat="1" applyFill="1" applyAlignment="1">
      <alignment horizontal="right"/>
    </xf>
    <xf numFmtId="2" fontId="0" fillId="0" borderId="5" xfId="0" applyNumberFormat="1" applyBorder="1" applyAlignment="1">
      <alignment horizontal="right"/>
    </xf>
    <xf numFmtId="2" fontId="1" fillId="0" borderId="6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2" fontId="0" fillId="2" borderId="8" xfId="0" applyNumberFormat="1" applyFill="1" applyBorder="1" applyAlignment="1">
      <alignment horizontal="right"/>
    </xf>
    <xf numFmtId="2" fontId="1" fillId="2" borderId="6" xfId="0" applyNumberFormat="1" applyFont="1" applyFill="1" applyBorder="1" applyAlignment="1">
      <alignment horizontal="right"/>
    </xf>
    <xf numFmtId="2" fontId="0" fillId="0" borderId="8" xfId="0" applyNumberFormat="1" applyBorder="1" applyAlignment="1">
      <alignment horizontal="right"/>
    </xf>
    <xf numFmtId="2" fontId="1" fillId="0" borderId="9" xfId="0" applyNumberFormat="1" applyFont="1" applyBorder="1" applyAlignment="1">
      <alignment horizontal="right"/>
    </xf>
    <xf numFmtId="2" fontId="1" fillId="0" borderId="14" xfId="0" applyNumberFormat="1" applyFont="1" applyBorder="1" applyAlignment="1">
      <alignment horizontal="right"/>
    </xf>
    <xf numFmtId="2" fontId="0" fillId="0" borderId="14" xfId="0" applyNumberFormat="1" applyBorder="1" applyAlignment="1">
      <alignment horizontal="right"/>
    </xf>
    <xf numFmtId="2" fontId="0" fillId="0" borderId="15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2" fontId="0" fillId="2" borderId="0" xfId="0" applyNumberFormat="1" applyFill="1" applyAlignment="1">
      <alignment horizontal="right"/>
    </xf>
    <xf numFmtId="2" fontId="0" fillId="4" borderId="0" xfId="0" applyNumberFormat="1" applyFill="1" applyAlignment="1">
      <alignment horizontal="right"/>
    </xf>
    <xf numFmtId="2" fontId="0" fillId="3" borderId="0" xfId="0" applyNumberFormat="1" applyFill="1" applyAlignment="1">
      <alignment horizontal="right"/>
    </xf>
    <xf numFmtId="2" fontId="0" fillId="2" borderId="5" xfId="0" applyNumberFormat="1" applyFill="1" applyBorder="1" applyAlignment="1">
      <alignment horizontal="right"/>
    </xf>
    <xf numFmtId="2" fontId="0" fillId="0" borderId="11" xfId="0" applyNumberFormat="1" applyBorder="1" applyAlignment="1">
      <alignment horizontal="right"/>
    </xf>
    <xf numFmtId="2" fontId="0" fillId="0" borderId="12" xfId="0" applyNumberFormat="1" applyBorder="1" applyAlignment="1">
      <alignment horizontal="right"/>
    </xf>
    <xf numFmtId="2" fontId="1" fillId="2" borderId="9" xfId="0" applyNumberFormat="1" applyFont="1" applyFill="1" applyBorder="1" applyAlignment="1">
      <alignment horizontal="right"/>
    </xf>
    <xf numFmtId="2" fontId="1" fillId="2" borderId="14" xfId="0" applyNumberFormat="1" applyFont="1" applyFill="1" applyBorder="1" applyAlignment="1">
      <alignment horizontal="right"/>
    </xf>
    <xf numFmtId="2" fontId="0" fillId="2" borderId="14" xfId="0" applyNumberFormat="1" applyFill="1" applyBorder="1" applyAlignment="1">
      <alignment horizontal="right"/>
    </xf>
    <xf numFmtId="2" fontId="0" fillId="2" borderId="15" xfId="0" applyNumberFormat="1" applyFill="1" applyBorder="1" applyAlignment="1">
      <alignment horizontal="right"/>
    </xf>
    <xf numFmtId="2" fontId="1" fillId="2" borderId="15" xfId="0" applyNumberFormat="1" applyFont="1" applyFill="1" applyBorder="1" applyAlignment="1">
      <alignment horizontal="right"/>
    </xf>
    <xf numFmtId="2" fontId="1" fillId="0" borderId="11" xfId="0" applyNumberFormat="1" applyFont="1" applyBorder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A8D0"/>
      <color rgb="FF89A5FF"/>
      <color rgb="FF89C4FF"/>
      <color rgb="FF2D96FF"/>
      <color rgb="FF8CCE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266701</xdr:colOff>
      <xdr:row>2</xdr:row>
      <xdr:rowOff>171451</xdr:rowOff>
    </xdr:from>
    <xdr:to>
      <xdr:col>9</xdr:col>
      <xdr:colOff>381000</xdr:colOff>
      <xdr:row>15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A14B132-545C-47DC-8BAF-B944DA2E090A}"/>
            </a:ext>
          </a:extLst>
        </xdr:cNvPr>
        <xdr:cNvSpPr txBox="1"/>
      </xdr:nvSpPr>
      <xdr:spPr>
        <a:xfrm>
          <a:off x="266701" y="619126"/>
          <a:ext cx="6419849" cy="23812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STUDENT CORE Questions for ACE Evaluations: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Scoring:  6=strongly agree, 5=moderately agree, 4=slightly agree, 3=slightly disagree, 2=moderately disagree, 1=strongly disagree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 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New Student Core Questions Fall 2020: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Q1.  Organization – The instructor used class time well.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Q2.  Clarity – The instructor communicated course material clearly.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Q3.  Learning Focused -- The instructor’s teaching methods helped students learn.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Q4.  Learning Materials – The assignments, readings, and activities facilitated student learning.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Q5.  Assessment – Assessments (such as quizzes, papers, exams) aligned with course objectives.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Q6.  Support – Help was available for students.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  <xdr:oneCellAnchor>
    <xdr:from>
      <xdr:col>10</xdr:col>
      <xdr:colOff>438150</xdr:colOff>
      <xdr:row>11</xdr:row>
      <xdr:rowOff>171450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E56E99D-9B36-4806-A391-FA6832E62D7A}"/>
            </a:ext>
          </a:extLst>
        </xdr:cNvPr>
        <xdr:cNvSpPr txBox="1"/>
      </xdr:nvSpPr>
      <xdr:spPr>
        <a:xfrm>
          <a:off x="6086475" y="233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0D111-1748-454A-879E-BC9844E089C8}">
  <dimension ref="A1:K70"/>
  <sheetViews>
    <sheetView tabSelected="1" workbookViewId="0">
      <selection sqref="A1:J1"/>
    </sheetView>
  </sheetViews>
  <sheetFormatPr defaultRowHeight="15" x14ac:dyDescent="0.25"/>
  <cols>
    <col min="1" max="1" width="11.140625" customWidth="1"/>
    <col min="3" max="3" width="19.42578125" customWidth="1"/>
  </cols>
  <sheetData>
    <row r="1" spans="1:10" ht="21" x14ac:dyDescent="0.35">
      <c r="A1" s="66" t="s">
        <v>54</v>
      </c>
      <c r="B1" s="66"/>
      <c r="C1" s="66"/>
      <c r="D1" s="66"/>
      <c r="E1" s="66"/>
      <c r="F1" s="66"/>
      <c r="G1" s="66"/>
      <c r="H1" s="66"/>
      <c r="I1" s="66"/>
      <c r="J1" s="66"/>
    </row>
    <row r="2" spans="1:10" x14ac:dyDescent="0.25">
      <c r="A2" s="67" t="s">
        <v>51</v>
      </c>
      <c r="B2" s="67"/>
      <c r="C2" s="67"/>
      <c r="D2" s="67"/>
      <c r="E2" s="67"/>
      <c r="F2" s="67"/>
      <c r="G2" s="67"/>
      <c r="H2" s="67"/>
      <c r="I2" s="67"/>
      <c r="J2" s="67"/>
    </row>
    <row r="17" spans="1:11" x14ac:dyDescent="0.25">
      <c r="A17" s="65" t="s">
        <v>36</v>
      </c>
      <c r="B17" s="65"/>
      <c r="C17" s="65" t="s">
        <v>39</v>
      </c>
      <c r="D17" s="65" t="s">
        <v>40</v>
      </c>
      <c r="E17" s="65"/>
      <c r="F17" s="65"/>
    </row>
    <row r="18" spans="1:11" ht="15.75" thickBot="1" x14ac:dyDescent="0.3">
      <c r="B18" s="1"/>
      <c r="J18" s="21"/>
    </row>
    <row r="19" spans="1:11" ht="16.5" thickTop="1" thickBot="1" x14ac:dyDescent="0.3">
      <c r="A19" s="3" t="s">
        <v>0</v>
      </c>
      <c r="B19" s="4" t="s">
        <v>7</v>
      </c>
      <c r="C19" s="4" t="s">
        <v>1</v>
      </c>
      <c r="D19" s="4" t="s">
        <v>8</v>
      </c>
      <c r="E19" s="4" t="s">
        <v>9</v>
      </c>
      <c r="F19" s="4" t="s">
        <v>10</v>
      </c>
      <c r="G19" s="4" t="s">
        <v>11</v>
      </c>
      <c r="H19" s="4" t="s">
        <v>12</v>
      </c>
      <c r="I19" s="4" t="s">
        <v>13</v>
      </c>
      <c r="J19" s="22" t="s">
        <v>14</v>
      </c>
    </row>
    <row r="20" spans="1:11" x14ac:dyDescent="0.25">
      <c r="A20" s="5" t="s">
        <v>15</v>
      </c>
      <c r="B20" s="13" t="s">
        <v>16</v>
      </c>
      <c r="C20" s="6" t="s">
        <v>2</v>
      </c>
      <c r="D20" s="42">
        <v>6</v>
      </c>
      <c r="E20" s="42">
        <v>5.79</v>
      </c>
      <c r="F20" s="42">
        <v>5.86</v>
      </c>
      <c r="G20" s="42">
        <v>5.86</v>
      </c>
      <c r="H20" s="42">
        <v>5.86</v>
      </c>
      <c r="I20" s="42">
        <v>5.86</v>
      </c>
      <c r="J20" s="43">
        <f>AVERAGE(D20:I20)</f>
        <v>5.8716666666666661</v>
      </c>
      <c r="K20" s="44"/>
    </row>
    <row r="21" spans="1:11" x14ac:dyDescent="0.25">
      <c r="A21" s="14" t="s">
        <v>17</v>
      </c>
      <c r="B21" s="15" t="s">
        <v>18</v>
      </c>
      <c r="C21" s="16" t="s">
        <v>2</v>
      </c>
      <c r="D21" s="45">
        <v>5.86</v>
      </c>
      <c r="E21" s="45">
        <v>5.29</v>
      </c>
      <c r="F21" s="45">
        <v>5.71</v>
      </c>
      <c r="G21" s="45">
        <v>6</v>
      </c>
      <c r="H21" s="45">
        <v>5.71</v>
      </c>
      <c r="I21" s="45">
        <v>5.71</v>
      </c>
      <c r="J21" s="46">
        <f>AVERAGE(D21:I21)</f>
        <v>5.7133333333333338</v>
      </c>
      <c r="K21" s="44"/>
    </row>
    <row r="22" spans="1:11" x14ac:dyDescent="0.25">
      <c r="A22" s="7" t="s">
        <v>19</v>
      </c>
      <c r="B22" s="17" t="s">
        <v>20</v>
      </c>
      <c r="C22" s="8" t="s">
        <v>2</v>
      </c>
      <c r="D22" s="47">
        <v>5.43</v>
      </c>
      <c r="E22" s="47">
        <v>5.71</v>
      </c>
      <c r="F22" s="47">
        <v>5.29</v>
      </c>
      <c r="G22" s="47">
        <v>5.43</v>
      </c>
      <c r="H22" s="47">
        <v>5.43</v>
      </c>
      <c r="I22" s="47">
        <v>5.57</v>
      </c>
      <c r="J22" s="48">
        <f>AVERAGE(D22:I22)</f>
        <v>5.4766666666666666</v>
      </c>
      <c r="K22" s="44"/>
    </row>
    <row r="23" spans="1:11" ht="15.75" thickBot="1" x14ac:dyDescent="0.3">
      <c r="A23" s="38" t="s">
        <v>21</v>
      </c>
      <c r="B23" s="39" t="s">
        <v>22</v>
      </c>
      <c r="C23" s="40" t="s">
        <v>2</v>
      </c>
      <c r="D23" s="49">
        <v>5</v>
      </c>
      <c r="E23" s="50">
        <v>5.25</v>
      </c>
      <c r="F23" s="50">
        <v>5.25</v>
      </c>
      <c r="G23" s="50">
        <v>5.5</v>
      </c>
      <c r="H23" s="50">
        <v>5.75</v>
      </c>
      <c r="I23" s="50">
        <v>5.5</v>
      </c>
      <c r="J23" s="51">
        <f>AVERAGE(D22:I22)</f>
        <v>5.4766666666666666</v>
      </c>
      <c r="K23" s="44"/>
    </row>
    <row r="24" spans="1:11" ht="15.75" thickTop="1" x14ac:dyDescent="0.25">
      <c r="B24" s="12"/>
      <c r="D24" s="44"/>
      <c r="E24" s="44"/>
      <c r="F24" s="44"/>
      <c r="G24" s="44"/>
      <c r="H24" s="44"/>
      <c r="I24" s="44"/>
      <c r="J24" s="52"/>
      <c r="K24" s="44"/>
    </row>
    <row r="25" spans="1:11" x14ac:dyDescent="0.25">
      <c r="A25" t="s">
        <v>42</v>
      </c>
      <c r="D25" s="53">
        <f>AVERAGE(D21)</f>
        <v>5.86</v>
      </c>
      <c r="E25" s="53">
        <f t="shared" ref="E25:J25" si="0">AVERAGE(E21)</f>
        <v>5.29</v>
      </c>
      <c r="F25" s="53">
        <f t="shared" si="0"/>
        <v>5.71</v>
      </c>
      <c r="G25" s="53">
        <f t="shared" si="0"/>
        <v>6</v>
      </c>
      <c r="H25" s="53">
        <f t="shared" si="0"/>
        <v>5.71</v>
      </c>
      <c r="I25" s="53">
        <f t="shared" si="0"/>
        <v>5.71</v>
      </c>
      <c r="J25" s="53">
        <f t="shared" si="0"/>
        <v>5.7133333333333338</v>
      </c>
      <c r="K25" s="44"/>
    </row>
    <row r="26" spans="1:11" x14ac:dyDescent="0.25">
      <c r="A26" t="s">
        <v>41</v>
      </c>
      <c r="D26" s="54">
        <f>AVERAGE(D20:D23)</f>
        <v>5.5724999999999998</v>
      </c>
      <c r="E26" s="54">
        <f t="shared" ref="E26:J26" si="1">AVERAGE(E20:E23)</f>
        <v>5.51</v>
      </c>
      <c r="F26" s="54">
        <f t="shared" si="1"/>
        <v>5.5274999999999999</v>
      </c>
      <c r="G26" s="54">
        <f t="shared" si="1"/>
        <v>5.6974999999999998</v>
      </c>
      <c r="H26" s="54">
        <f t="shared" si="1"/>
        <v>5.6875</v>
      </c>
      <c r="I26" s="54">
        <f t="shared" si="1"/>
        <v>5.66</v>
      </c>
      <c r="J26" s="54">
        <f t="shared" si="1"/>
        <v>5.6345833333333335</v>
      </c>
      <c r="K26" s="44"/>
    </row>
    <row r="27" spans="1:11" x14ac:dyDescent="0.25">
      <c r="A27" t="s">
        <v>44</v>
      </c>
      <c r="D27" s="55">
        <f>AVERAGE(D20,D22:D23)</f>
        <v>5.4766666666666666</v>
      </c>
      <c r="E27" s="55">
        <f t="shared" ref="E27:J27" si="2">AVERAGE(E20,E22:E23)</f>
        <v>5.583333333333333</v>
      </c>
      <c r="F27" s="55">
        <f t="shared" si="2"/>
        <v>5.4666666666666659</v>
      </c>
      <c r="G27" s="55">
        <f t="shared" si="2"/>
        <v>5.5966666666666667</v>
      </c>
      <c r="H27" s="55">
        <f t="shared" si="2"/>
        <v>5.68</v>
      </c>
      <c r="I27" s="55">
        <f t="shared" si="2"/>
        <v>5.6433333333333335</v>
      </c>
      <c r="J27" s="55">
        <f t="shared" si="2"/>
        <v>5.6083333333333334</v>
      </c>
      <c r="K27" s="44"/>
    </row>
    <row r="28" spans="1:11" x14ac:dyDescent="0.25">
      <c r="A28" t="s">
        <v>45</v>
      </c>
      <c r="D28" s="41">
        <f>AVERAGE(D20, D22:D23)</f>
        <v>5.4766666666666666</v>
      </c>
      <c r="E28" s="41">
        <f t="shared" ref="E28:J28" si="3">AVERAGE(E20, E22:E23)</f>
        <v>5.583333333333333</v>
      </c>
      <c r="F28" s="41">
        <f t="shared" si="3"/>
        <v>5.4666666666666659</v>
      </c>
      <c r="G28" s="41">
        <f t="shared" si="3"/>
        <v>5.5966666666666667</v>
      </c>
      <c r="H28" s="41">
        <f t="shared" si="3"/>
        <v>5.68</v>
      </c>
      <c r="I28" s="41">
        <f t="shared" si="3"/>
        <v>5.6433333333333335</v>
      </c>
      <c r="J28" s="41">
        <f t="shared" si="3"/>
        <v>5.6083333333333334</v>
      </c>
      <c r="K28" s="44"/>
    </row>
    <row r="29" spans="1:11" x14ac:dyDescent="0.25">
      <c r="A29" s="18"/>
      <c r="D29" s="44"/>
      <c r="E29" s="44"/>
      <c r="F29" s="44"/>
      <c r="G29" s="44"/>
      <c r="H29" s="44"/>
      <c r="I29" s="44"/>
      <c r="J29" s="44"/>
      <c r="K29" s="44"/>
    </row>
    <row r="31" spans="1:11" x14ac:dyDescent="0.25">
      <c r="A31" s="65" t="s">
        <v>36</v>
      </c>
      <c r="B31" s="65"/>
      <c r="C31" s="65" t="s">
        <v>46</v>
      </c>
      <c r="D31" s="65" t="s">
        <v>47</v>
      </c>
      <c r="E31" s="65"/>
    </row>
    <row r="32" spans="1:11" ht="15.75" thickBot="1" x14ac:dyDescent="0.3"/>
    <row r="33" spans="1:10" ht="16.5" thickTop="1" thickBot="1" x14ac:dyDescent="0.3">
      <c r="A33" s="3" t="s">
        <v>0</v>
      </c>
      <c r="B33" s="4" t="s">
        <v>7</v>
      </c>
      <c r="C33" s="4" t="s">
        <v>1</v>
      </c>
      <c r="D33" s="4" t="s">
        <v>8</v>
      </c>
      <c r="E33" s="4" t="s">
        <v>9</v>
      </c>
      <c r="F33" s="4" t="s">
        <v>10</v>
      </c>
      <c r="G33" s="4" t="s">
        <v>11</v>
      </c>
      <c r="H33" s="4" t="s">
        <v>12</v>
      </c>
      <c r="I33" s="4" t="s">
        <v>13</v>
      </c>
      <c r="J33" s="22" t="s">
        <v>14</v>
      </c>
    </row>
    <row r="34" spans="1:10" x14ac:dyDescent="0.25">
      <c r="A34" s="24" t="s">
        <v>23</v>
      </c>
      <c r="B34" s="25" t="s">
        <v>24</v>
      </c>
      <c r="C34" s="26" t="s">
        <v>3</v>
      </c>
      <c r="D34" s="56">
        <v>5.62</v>
      </c>
      <c r="E34" s="56">
        <v>5.23</v>
      </c>
      <c r="F34" s="56">
        <v>4.92</v>
      </c>
      <c r="G34" s="56">
        <v>5.31</v>
      </c>
      <c r="H34" s="56">
        <v>5.15</v>
      </c>
      <c r="I34" s="56">
        <v>5.67</v>
      </c>
      <c r="J34" s="46">
        <f>AVERAGE(D34:I34)</f>
        <v>5.3166666666666673</v>
      </c>
    </row>
    <row r="35" spans="1:10" x14ac:dyDescent="0.25">
      <c r="A35" s="9" t="s">
        <v>25</v>
      </c>
      <c r="B35" s="10" t="s">
        <v>6</v>
      </c>
      <c r="C35" s="11" t="s">
        <v>3</v>
      </c>
      <c r="D35" s="57">
        <v>5.9</v>
      </c>
      <c r="E35" s="57">
        <v>5.2</v>
      </c>
      <c r="F35" s="57">
        <v>5.6</v>
      </c>
      <c r="G35" s="57">
        <v>5.3</v>
      </c>
      <c r="H35" s="57">
        <v>5.3</v>
      </c>
      <c r="I35" s="57">
        <v>6</v>
      </c>
      <c r="J35" s="58">
        <f>AVERAGE(D35:I35)</f>
        <v>5.5500000000000007</v>
      </c>
    </row>
    <row r="36" spans="1:10" x14ac:dyDescent="0.25">
      <c r="A36" s="14" t="s">
        <v>26</v>
      </c>
      <c r="B36" s="27" t="s">
        <v>27</v>
      </c>
      <c r="C36" s="16" t="s">
        <v>2</v>
      </c>
      <c r="D36" s="45">
        <v>5.6</v>
      </c>
      <c r="E36" s="45">
        <v>4.4000000000000004</v>
      </c>
      <c r="F36" s="45">
        <v>5.3</v>
      </c>
      <c r="G36" s="45">
        <v>5.6</v>
      </c>
      <c r="H36" s="45">
        <v>5.6</v>
      </c>
      <c r="I36" s="45">
        <v>5.8</v>
      </c>
      <c r="J36" s="59">
        <f>AVERAGE(D36:I36)</f>
        <v>5.3833333333333329</v>
      </c>
    </row>
    <row r="37" spans="1:10" ht="15.75" thickBot="1" x14ac:dyDescent="0.3">
      <c r="A37" s="31" t="s">
        <v>28</v>
      </c>
      <c r="B37" s="37" t="s">
        <v>4</v>
      </c>
      <c r="C37" s="33" t="s">
        <v>2</v>
      </c>
      <c r="D37" s="60">
        <v>5.56</v>
      </c>
      <c r="E37" s="61">
        <v>5.33</v>
      </c>
      <c r="F37" s="61">
        <v>5.22</v>
      </c>
      <c r="G37" s="61">
        <v>5.78</v>
      </c>
      <c r="H37" s="61">
        <v>5.78</v>
      </c>
      <c r="I37" s="61">
        <v>5.78</v>
      </c>
      <c r="J37" s="62">
        <f>AVERAGE(D37:I37)</f>
        <v>5.5750000000000002</v>
      </c>
    </row>
    <row r="38" spans="1:10" ht="15.75" thickTop="1" x14ac:dyDescent="0.25">
      <c r="D38" s="44"/>
      <c r="E38" s="44"/>
      <c r="F38" s="44"/>
      <c r="G38" s="44"/>
      <c r="H38" s="44"/>
      <c r="I38" s="44"/>
      <c r="J38" s="44"/>
    </row>
    <row r="39" spans="1:10" x14ac:dyDescent="0.25">
      <c r="A39" t="s">
        <v>42</v>
      </c>
      <c r="D39" s="53">
        <f>AVERAGE(D34, D36:D37)</f>
        <v>5.5933333333333328</v>
      </c>
      <c r="E39" s="53">
        <f t="shared" ref="E39:J39" si="4">AVERAGE(E34, E36:E37)</f>
        <v>4.9866666666666672</v>
      </c>
      <c r="F39" s="53">
        <f t="shared" si="4"/>
        <v>5.1466666666666656</v>
      </c>
      <c r="G39" s="53">
        <f t="shared" si="4"/>
        <v>5.5633333333333335</v>
      </c>
      <c r="H39" s="53">
        <f t="shared" si="4"/>
        <v>5.5100000000000007</v>
      </c>
      <c r="I39" s="53">
        <f t="shared" si="4"/>
        <v>5.75</v>
      </c>
      <c r="J39" s="53">
        <f t="shared" si="4"/>
        <v>5.4249999999999998</v>
      </c>
    </row>
    <row r="40" spans="1:10" x14ac:dyDescent="0.25">
      <c r="A40" t="s">
        <v>41</v>
      </c>
      <c r="D40" s="54">
        <f>AVERAGE(D34:D37)</f>
        <v>5.669999999999999</v>
      </c>
      <c r="E40" s="54">
        <f t="shared" ref="E40:J40" si="5">AVERAGE(E34:E37)</f>
        <v>5.04</v>
      </c>
      <c r="F40" s="54">
        <f t="shared" si="5"/>
        <v>5.26</v>
      </c>
      <c r="G40" s="54">
        <f t="shared" si="5"/>
        <v>5.4975000000000005</v>
      </c>
      <c r="H40" s="54">
        <f t="shared" si="5"/>
        <v>5.4574999999999996</v>
      </c>
      <c r="I40" s="54">
        <f t="shared" si="5"/>
        <v>5.8125</v>
      </c>
      <c r="J40" s="54">
        <f t="shared" si="5"/>
        <v>5.4562499999999998</v>
      </c>
    </row>
    <row r="41" spans="1:10" x14ac:dyDescent="0.25">
      <c r="A41" t="s">
        <v>44</v>
      </c>
      <c r="D41" s="55">
        <f>AVERAGE(D35)</f>
        <v>5.9</v>
      </c>
      <c r="E41" s="55">
        <f t="shared" ref="E41:J41" si="6">AVERAGE(E35)</f>
        <v>5.2</v>
      </c>
      <c r="F41" s="55">
        <f t="shared" si="6"/>
        <v>5.6</v>
      </c>
      <c r="G41" s="55">
        <f t="shared" si="6"/>
        <v>5.3</v>
      </c>
      <c r="H41" s="55">
        <f t="shared" si="6"/>
        <v>5.3</v>
      </c>
      <c r="I41" s="55">
        <f t="shared" si="6"/>
        <v>6</v>
      </c>
      <c r="J41" s="55">
        <f t="shared" si="6"/>
        <v>5.5500000000000007</v>
      </c>
    </row>
    <row r="42" spans="1:10" x14ac:dyDescent="0.25">
      <c r="A42" t="s">
        <v>43</v>
      </c>
      <c r="D42" s="41">
        <f>AVERAGE(D35)</f>
        <v>5.9</v>
      </c>
      <c r="E42" s="41">
        <f t="shared" ref="E42:J42" si="7">AVERAGE(E35)</f>
        <v>5.2</v>
      </c>
      <c r="F42" s="41">
        <f t="shared" si="7"/>
        <v>5.6</v>
      </c>
      <c r="G42" s="41">
        <f t="shared" si="7"/>
        <v>5.3</v>
      </c>
      <c r="H42" s="41">
        <f t="shared" si="7"/>
        <v>5.3</v>
      </c>
      <c r="I42" s="41">
        <f t="shared" si="7"/>
        <v>6</v>
      </c>
      <c r="J42" s="41">
        <f t="shared" si="7"/>
        <v>5.5500000000000007</v>
      </c>
    </row>
    <row r="43" spans="1:10" x14ac:dyDescent="0.25">
      <c r="A43" t="s">
        <v>52</v>
      </c>
    </row>
    <row r="44" spans="1:10" x14ac:dyDescent="0.25">
      <c r="A44" s="18"/>
    </row>
    <row r="46" spans="1:10" x14ac:dyDescent="0.25">
      <c r="A46" s="65" t="s">
        <v>36</v>
      </c>
      <c r="B46" s="65"/>
      <c r="C46" s="65" t="s">
        <v>37</v>
      </c>
      <c r="D46" s="65" t="s">
        <v>38</v>
      </c>
      <c r="E46" s="65"/>
      <c r="F46" s="65"/>
    </row>
    <row r="47" spans="1:10" ht="15.75" thickBot="1" x14ac:dyDescent="0.3"/>
    <row r="48" spans="1:10" ht="16.5" thickTop="1" thickBot="1" x14ac:dyDescent="0.3">
      <c r="A48" s="3" t="s">
        <v>0</v>
      </c>
      <c r="B48" s="4" t="s">
        <v>7</v>
      </c>
      <c r="C48" s="4" t="s">
        <v>1</v>
      </c>
      <c r="D48" s="4" t="s">
        <v>8</v>
      </c>
      <c r="E48" s="4" t="s">
        <v>9</v>
      </c>
      <c r="F48" s="4" t="s">
        <v>10</v>
      </c>
      <c r="G48" s="4" t="s">
        <v>11</v>
      </c>
      <c r="H48" s="4" t="s">
        <v>12</v>
      </c>
      <c r="I48" s="4" t="s">
        <v>13</v>
      </c>
      <c r="J48" s="22" t="s">
        <v>14</v>
      </c>
    </row>
    <row r="49" spans="1:11" x14ac:dyDescent="0.25">
      <c r="A49" s="24" t="s">
        <v>15</v>
      </c>
      <c r="B49" s="25" t="s">
        <v>29</v>
      </c>
      <c r="C49" s="26" t="s">
        <v>3</v>
      </c>
      <c r="D49" s="56">
        <v>5.37</v>
      </c>
      <c r="E49" s="56">
        <v>4.95</v>
      </c>
      <c r="F49" s="56">
        <v>5.05</v>
      </c>
      <c r="G49" s="56">
        <v>5.53</v>
      </c>
      <c r="H49" s="56">
        <v>5.1100000000000003</v>
      </c>
      <c r="I49" s="56">
        <v>5.47</v>
      </c>
      <c r="J49" s="46">
        <f>AVERAGE(D49:I49)</f>
        <v>5.246666666666667</v>
      </c>
    </row>
    <row r="50" spans="1:11" ht="15.75" thickBot="1" x14ac:dyDescent="0.3">
      <c r="A50" s="34" t="s">
        <v>19</v>
      </c>
      <c r="B50" s="35" t="s">
        <v>30</v>
      </c>
      <c r="C50" s="36" t="s">
        <v>2</v>
      </c>
      <c r="D50" s="61">
        <v>5.75</v>
      </c>
      <c r="E50" s="61">
        <v>5.58</v>
      </c>
      <c r="F50" s="61">
        <v>5.58</v>
      </c>
      <c r="G50" s="61">
        <v>5.58</v>
      </c>
      <c r="H50" s="61">
        <v>5.67</v>
      </c>
      <c r="I50" s="61">
        <v>5.83</v>
      </c>
      <c r="J50" s="63">
        <f>AVERAGE(D50:I50)</f>
        <v>5.665</v>
      </c>
    </row>
    <row r="51" spans="1:11" ht="15.75" thickTop="1" x14ac:dyDescent="0.25">
      <c r="D51" s="44"/>
      <c r="E51" s="44"/>
      <c r="F51" s="44"/>
      <c r="G51" s="44"/>
      <c r="H51" s="44"/>
      <c r="I51" s="44"/>
      <c r="J51" s="44"/>
    </row>
    <row r="52" spans="1:11" x14ac:dyDescent="0.25">
      <c r="A52" t="s">
        <v>42</v>
      </c>
      <c r="D52" s="53">
        <f>AVERAGE(D49:D50)</f>
        <v>5.5600000000000005</v>
      </c>
      <c r="E52" s="53">
        <f t="shared" ref="E52:J52" si="8">AVERAGE(E49:E50)</f>
        <v>5.2650000000000006</v>
      </c>
      <c r="F52" s="53">
        <f t="shared" si="8"/>
        <v>5.3149999999999995</v>
      </c>
      <c r="G52" s="53">
        <f t="shared" si="8"/>
        <v>5.5549999999999997</v>
      </c>
      <c r="H52" s="53">
        <f t="shared" si="8"/>
        <v>5.3900000000000006</v>
      </c>
      <c r="I52" s="53">
        <f t="shared" si="8"/>
        <v>5.65</v>
      </c>
      <c r="J52" s="53">
        <f t="shared" si="8"/>
        <v>5.4558333333333335</v>
      </c>
    </row>
    <row r="53" spans="1:11" x14ac:dyDescent="0.25">
      <c r="D53" s="44"/>
      <c r="E53" s="44"/>
      <c r="F53" s="44"/>
      <c r="G53" s="44"/>
      <c r="H53" s="44"/>
      <c r="I53" s="44"/>
      <c r="J53" s="44"/>
    </row>
    <row r="54" spans="1:11" x14ac:dyDescent="0.25">
      <c r="A54" t="s">
        <v>48</v>
      </c>
    </row>
    <row r="57" spans="1:11" x14ac:dyDescent="0.25">
      <c r="A57" s="65" t="s">
        <v>36</v>
      </c>
      <c r="B57" s="65"/>
      <c r="C57" s="65" t="s">
        <v>49</v>
      </c>
      <c r="D57" s="65" t="s">
        <v>50</v>
      </c>
      <c r="E57" s="65"/>
    </row>
    <row r="58" spans="1:11" ht="15.75" thickBot="1" x14ac:dyDescent="0.3"/>
    <row r="59" spans="1:11" ht="16.5" thickTop="1" thickBot="1" x14ac:dyDescent="0.3">
      <c r="A59" s="3" t="s">
        <v>0</v>
      </c>
      <c r="B59" s="4" t="s">
        <v>7</v>
      </c>
      <c r="C59" s="4" t="s">
        <v>1</v>
      </c>
      <c r="D59" s="4" t="s">
        <v>8</v>
      </c>
      <c r="E59" s="4" t="s">
        <v>9</v>
      </c>
      <c r="F59" s="4" t="s">
        <v>10</v>
      </c>
      <c r="G59" s="4" t="s">
        <v>11</v>
      </c>
      <c r="H59" s="4" t="s">
        <v>12</v>
      </c>
      <c r="I59" s="4" t="s">
        <v>13</v>
      </c>
      <c r="J59" s="22" t="s">
        <v>14</v>
      </c>
      <c r="K59" s="21"/>
    </row>
    <row r="60" spans="1:11" x14ac:dyDescent="0.25">
      <c r="A60" s="5" t="s">
        <v>15</v>
      </c>
      <c r="B60" s="13" t="s">
        <v>32</v>
      </c>
      <c r="C60" s="6" t="s">
        <v>5</v>
      </c>
      <c r="D60" s="42">
        <v>5.91</v>
      </c>
      <c r="E60" s="42">
        <v>6</v>
      </c>
      <c r="F60" s="42">
        <v>5.73</v>
      </c>
      <c r="G60" s="42">
        <v>6</v>
      </c>
      <c r="H60" s="42">
        <v>5.86</v>
      </c>
      <c r="I60" s="42">
        <v>6</v>
      </c>
      <c r="J60" s="43">
        <f>AVERAGE(D60:I60)</f>
        <v>5.916666666666667</v>
      </c>
      <c r="K60" s="21"/>
    </row>
    <row r="61" spans="1:11" x14ac:dyDescent="0.25">
      <c r="A61" s="28" t="s">
        <v>25</v>
      </c>
      <c r="B61" s="29" t="s">
        <v>33</v>
      </c>
      <c r="C61" s="30" t="s">
        <v>2</v>
      </c>
      <c r="D61" s="45">
        <v>5.75</v>
      </c>
      <c r="E61" s="45">
        <v>5.75</v>
      </c>
      <c r="F61" s="45">
        <v>5.5</v>
      </c>
      <c r="G61" s="45">
        <v>5.38</v>
      </c>
      <c r="H61" s="45">
        <v>5.4</v>
      </c>
      <c r="I61" s="45">
        <v>5.5</v>
      </c>
      <c r="J61" s="59">
        <f>AVERAGE(D61:I61)</f>
        <v>5.5466666666666669</v>
      </c>
      <c r="K61" s="21"/>
    </row>
    <row r="62" spans="1:11" x14ac:dyDescent="0.25">
      <c r="A62" s="7" t="s">
        <v>19</v>
      </c>
      <c r="B62" s="17" t="s">
        <v>34</v>
      </c>
      <c r="C62" s="8" t="s">
        <v>5</v>
      </c>
      <c r="D62" s="47">
        <v>6</v>
      </c>
      <c r="E62" s="47">
        <v>5.9</v>
      </c>
      <c r="F62" s="47">
        <v>6</v>
      </c>
      <c r="G62" s="47">
        <v>5.8</v>
      </c>
      <c r="H62" s="47">
        <v>5.78</v>
      </c>
      <c r="I62" s="47">
        <v>5.9</v>
      </c>
      <c r="J62" s="48">
        <f>AVERAGE(D62:I62)</f>
        <v>5.8966666666666674</v>
      </c>
      <c r="K62" s="21"/>
    </row>
    <row r="63" spans="1:11" x14ac:dyDescent="0.25">
      <c r="A63" s="19" t="s">
        <v>26</v>
      </c>
      <c r="B63" s="23" t="s">
        <v>35</v>
      </c>
      <c r="C63" s="20" t="s">
        <v>5</v>
      </c>
      <c r="D63" s="64">
        <v>6</v>
      </c>
      <c r="E63" s="57">
        <v>5.9</v>
      </c>
      <c r="F63" s="57">
        <v>6</v>
      </c>
      <c r="G63" s="57">
        <v>5.9</v>
      </c>
      <c r="H63" s="57">
        <v>6</v>
      </c>
      <c r="I63" s="57">
        <v>5.9</v>
      </c>
      <c r="J63" s="58">
        <f>AVERAGE(D63:I63)</f>
        <v>5.9499999999999993</v>
      </c>
      <c r="K63" s="2"/>
    </row>
    <row r="64" spans="1:11" ht="15.75" thickBot="1" x14ac:dyDescent="0.3">
      <c r="A64" s="31" t="s">
        <v>21</v>
      </c>
      <c r="B64" s="32" t="s">
        <v>31</v>
      </c>
      <c r="C64" s="33" t="s">
        <v>2</v>
      </c>
      <c r="D64" s="60">
        <v>5.71</v>
      </c>
      <c r="E64" s="61">
        <v>5.29</v>
      </c>
      <c r="F64" s="61">
        <v>5.43</v>
      </c>
      <c r="G64" s="61">
        <v>5.86</v>
      </c>
      <c r="H64" s="61">
        <v>5.33</v>
      </c>
      <c r="I64" s="61">
        <v>5.86</v>
      </c>
      <c r="J64" s="62">
        <f>AVERAGE(D64:I64)</f>
        <v>5.5799999999999992</v>
      </c>
      <c r="K64" s="2"/>
    </row>
    <row r="65" spans="1:10" ht="15.75" thickTop="1" x14ac:dyDescent="0.25">
      <c r="D65" s="44"/>
      <c r="E65" s="44"/>
      <c r="F65" s="44"/>
      <c r="G65" s="44"/>
      <c r="H65" s="44"/>
      <c r="I65" s="44"/>
      <c r="J65" s="44"/>
    </row>
    <row r="66" spans="1:10" x14ac:dyDescent="0.25">
      <c r="A66" t="s">
        <v>42</v>
      </c>
      <c r="D66" s="53">
        <f>AVERAGE(D61, D64)</f>
        <v>5.73</v>
      </c>
      <c r="E66" s="53">
        <f t="shared" ref="E66:J66" si="9">AVERAGE(E61, E64)</f>
        <v>5.52</v>
      </c>
      <c r="F66" s="53">
        <f t="shared" si="9"/>
        <v>5.4649999999999999</v>
      </c>
      <c r="G66" s="53">
        <f t="shared" si="9"/>
        <v>5.62</v>
      </c>
      <c r="H66" s="53">
        <f t="shared" si="9"/>
        <v>5.3650000000000002</v>
      </c>
      <c r="I66" s="53">
        <f t="shared" si="9"/>
        <v>5.68</v>
      </c>
      <c r="J66" s="53">
        <f t="shared" si="9"/>
        <v>5.5633333333333326</v>
      </c>
    </row>
    <row r="67" spans="1:10" x14ac:dyDescent="0.25">
      <c r="A67" t="s">
        <v>41</v>
      </c>
      <c r="D67" s="54">
        <f>AVERAGE(D60:D64)</f>
        <v>5.8740000000000006</v>
      </c>
      <c r="E67" s="54">
        <f t="shared" ref="E67:J67" si="10">AVERAGE(E60:E64)</f>
        <v>5.7679999999999989</v>
      </c>
      <c r="F67" s="54">
        <f t="shared" si="10"/>
        <v>5.7320000000000002</v>
      </c>
      <c r="G67" s="54">
        <f t="shared" si="10"/>
        <v>5.7879999999999994</v>
      </c>
      <c r="H67" s="54">
        <f t="shared" si="10"/>
        <v>5.6740000000000013</v>
      </c>
      <c r="I67" s="54">
        <f t="shared" si="10"/>
        <v>5.831999999999999</v>
      </c>
      <c r="J67" s="54">
        <f t="shared" si="10"/>
        <v>5.7780000000000005</v>
      </c>
    </row>
    <row r="68" spans="1:10" x14ac:dyDescent="0.25">
      <c r="A68" t="s">
        <v>44</v>
      </c>
      <c r="D68" s="55">
        <f>AVERAGE(D60, D62:D63)</f>
        <v>5.97</v>
      </c>
      <c r="E68" s="55">
        <f t="shared" ref="E68:J68" si="11">AVERAGE(E60, E62:E63)</f>
        <v>5.9333333333333336</v>
      </c>
      <c r="F68" s="55">
        <f t="shared" si="11"/>
        <v>5.91</v>
      </c>
      <c r="G68" s="55">
        <f t="shared" si="11"/>
        <v>5.9000000000000012</v>
      </c>
      <c r="H68" s="55">
        <f t="shared" si="11"/>
        <v>5.88</v>
      </c>
      <c r="I68" s="55">
        <f t="shared" si="11"/>
        <v>5.9333333333333336</v>
      </c>
      <c r="J68" s="55">
        <f t="shared" si="11"/>
        <v>5.9211111111111121</v>
      </c>
    </row>
    <row r="69" spans="1:10" x14ac:dyDescent="0.25">
      <c r="D69" s="52"/>
      <c r="E69" s="52"/>
      <c r="F69" s="52"/>
      <c r="G69" s="52"/>
      <c r="H69" s="52"/>
      <c r="I69" s="52"/>
      <c r="J69" s="52"/>
    </row>
    <row r="70" spans="1:10" x14ac:dyDescent="0.25">
      <c r="A70" t="s">
        <v>53</v>
      </c>
      <c r="D70" s="44"/>
      <c r="E70" s="44"/>
      <c r="F70" s="44"/>
      <c r="G70" s="44"/>
      <c r="H70" s="44"/>
      <c r="I70" s="44"/>
      <c r="J70" s="44"/>
    </row>
  </sheetData>
  <mergeCells count="2">
    <mergeCell ref="A1:J1"/>
    <mergeCell ref="A2:J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Stagman, Emily</dc:creator>
  <cp:lastModifiedBy>Stagman, Emily</cp:lastModifiedBy>
  <dcterms:created xsi:type="dcterms:W3CDTF">2024-07-26T19:19:57Z</dcterms:created>
  <dcterms:modified xsi:type="dcterms:W3CDTF">2024-08-02T14:00:10Z</dcterms:modified>
</cp:coreProperties>
</file>