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vans\AppData\Local\Microsoft\Windows\INetCache\Content.Outlook\99Q9KWFC\"/>
    </mc:Choice>
  </mc:AlternateContent>
  <xr:revisionPtr revIDLastSave="0" documentId="13_ncr:1_{848D48CD-A061-48E0-91DE-1C799562304D}" xr6:coauthVersionLast="47" xr6:coauthVersionMax="47" xr10:uidLastSave="{00000000-0000-0000-0000-000000000000}"/>
  <bookViews>
    <workbookView xWindow="-120" yWindow="-120" windowWidth="29040" windowHeight="17640" activeTab="1" xr2:uid="{11011A61-3586-4B48-876B-082B85943501}"/>
  </bookViews>
  <sheets>
    <sheet name="Offset by year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0" i="1" l="1"/>
  <c r="AG60" i="1"/>
  <c r="AF60" i="1"/>
  <c r="AD60" i="1"/>
  <c r="AB60" i="1"/>
  <c r="AA60" i="1"/>
  <c r="Z60" i="1"/>
  <c r="Y60" i="1"/>
  <c r="X60" i="1"/>
  <c r="V60" i="1"/>
  <c r="U60" i="1"/>
  <c r="T60" i="1"/>
  <c r="S60" i="1"/>
  <c r="R60" i="1"/>
  <c r="Q60" i="1"/>
  <c r="P60" i="1"/>
  <c r="O60" i="1"/>
  <c r="N60" i="1"/>
  <c r="M60" i="1"/>
  <c r="L60" i="1"/>
  <c r="K60" i="1"/>
  <c r="AI59" i="1"/>
  <c r="AI58" i="1"/>
  <c r="AE57" i="1"/>
  <c r="AE60" i="1" s="1"/>
  <c r="AC57" i="1"/>
  <c r="AC60" i="1" s="1"/>
  <c r="W57" i="1"/>
  <c r="AI57" i="1" s="1"/>
  <c r="AI56" i="1"/>
  <c r="AI55" i="1"/>
  <c r="AI54" i="1"/>
  <c r="AI53" i="1"/>
  <c r="AI52" i="1"/>
  <c r="AJ60" i="1" l="1"/>
  <c r="W60" i="1"/>
  <c r="AI60" i="1"/>
  <c r="AK60" i="1" l="1"/>
  <c r="A5" i="2" s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I47" i="1"/>
  <c r="AI46" i="1"/>
  <c r="AI45" i="1"/>
  <c r="AI44" i="1"/>
  <c r="AI43" i="1"/>
  <c r="AI42" i="1"/>
  <c r="AJ48" i="1" l="1"/>
  <c r="AI48" i="1"/>
  <c r="AK48" i="1" s="1"/>
  <c r="B5" i="2" s="1"/>
  <c r="AH38" i="1" l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I37" i="1"/>
  <c r="AI36" i="1"/>
  <c r="AI35" i="1"/>
  <c r="AI34" i="1"/>
  <c r="AI33" i="1"/>
  <c r="AI32" i="1"/>
  <c r="AI31" i="1"/>
  <c r="AI30" i="1"/>
  <c r="AI38" i="1" l="1"/>
  <c r="AJ38" i="1"/>
  <c r="AK38" i="1" s="1"/>
  <c r="C5" i="2" s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I25" i="1"/>
  <c r="AI24" i="1"/>
  <c r="AI23" i="1"/>
  <c r="AI22" i="1"/>
  <c r="AI21" i="1"/>
  <c r="AI20" i="1"/>
  <c r="AI19" i="1"/>
  <c r="AJ26" i="1" s="1"/>
  <c r="AI18" i="1"/>
  <c r="AI26" i="1" l="1"/>
  <c r="AK26" i="1"/>
  <c r="D5" i="2" s="1"/>
  <c r="E7" i="2" l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I13" i="1"/>
  <c r="AI12" i="1"/>
  <c r="AI11" i="1"/>
  <c r="AI10" i="1"/>
  <c r="AI9" i="1"/>
  <c r="AI8" i="1"/>
  <c r="AI7" i="1"/>
  <c r="AJ14" i="1" l="1"/>
  <c r="AI14" i="1"/>
  <c r="AK14" i="1" l="1"/>
  <c r="E5" i="2" s="1"/>
  <c r="E8" i="2" s="1"/>
</calcChain>
</file>

<file path=xl/sharedStrings.xml><?xml version="1.0" encoding="utf-8"?>
<sst xmlns="http://schemas.openxmlformats.org/spreadsheetml/2006/main" count="386" uniqueCount="56">
  <si>
    <t>SEWELL, DAN</t>
  </si>
  <si>
    <t>YTD SALARY SPLIT</t>
  </si>
  <si>
    <t>YTD OFFSET</t>
  </si>
  <si>
    <t>YTD % Offset</t>
  </si>
  <si>
    <t>FUND</t>
  </si>
  <si>
    <t>ORG</t>
  </si>
  <si>
    <t>DEPT</t>
  </si>
  <si>
    <t>SDEPT</t>
  </si>
  <si>
    <t>GR-PR</t>
  </si>
  <si>
    <t>IACT</t>
  </si>
  <si>
    <t>OACT</t>
  </si>
  <si>
    <t>DACT</t>
  </si>
  <si>
    <t>FN</t>
  </si>
  <si>
    <t>ACCOUNT DESCRIPTION</t>
  </si>
  <si>
    <t>SALARY</t>
  </si>
  <si>
    <t>PERCENT</t>
  </si>
  <si>
    <t>050</t>
  </si>
  <si>
    <t>20</t>
  </si>
  <si>
    <t>5220</t>
  </si>
  <si>
    <t>00000</t>
  </si>
  <si>
    <t>00000000</t>
  </si>
  <si>
    <t>5002</t>
  </si>
  <si>
    <t>000</t>
  </si>
  <si>
    <t>10</t>
  </si>
  <si>
    <t>BIOSTAT GENERAL ACCT</t>
  </si>
  <si>
    <t>PRC project</t>
  </si>
  <si>
    <t>04000</t>
  </si>
  <si>
    <t xml:space="preserve">Segre: CDC MInD2 </t>
  </si>
  <si>
    <t>L Polgreen: Pharm Hypertension</t>
  </si>
  <si>
    <t>Zamba: ISIB</t>
  </si>
  <si>
    <t xml:space="preserve">Sewell/Baker: PATHOME Main </t>
  </si>
  <si>
    <t>Daniel Sewell, PhD</t>
  </si>
  <si>
    <t>Offset Summary</t>
  </si>
  <si>
    <t>Baker/Sewell: PATHOME Supp</t>
  </si>
  <si>
    <t>Sewell: UC Davis Enhancing EHR</t>
  </si>
  <si>
    <t>2024-2025</t>
  </si>
  <si>
    <t>2023-2024</t>
  </si>
  <si>
    <t xml:space="preserve">Baker/Sewell: PATHOME Main </t>
  </si>
  <si>
    <r>
      <t>Baker/Sewell: PATHOME Supp</t>
    </r>
    <r>
      <rPr>
        <sz val="9"/>
        <color rgb="FFFF0000"/>
        <rFont val="Aptos Narrow"/>
        <family val="2"/>
        <scheme val="minor"/>
      </rPr>
      <t xml:space="preserve"> </t>
    </r>
  </si>
  <si>
    <t>2022-2023</t>
  </si>
  <si>
    <t>YTD % Salary</t>
  </si>
  <si>
    <t>Segre: CDC MInD2</t>
  </si>
  <si>
    <r>
      <t xml:space="preserve">Baker/Sewell: PATHOME/Kenya </t>
    </r>
    <r>
      <rPr>
        <sz val="9"/>
        <color rgb="FFFF0000"/>
        <rFont val="Arial"/>
        <family val="2"/>
      </rPr>
      <t>ends 5/31/25</t>
    </r>
  </si>
  <si>
    <t>2021-2022</t>
  </si>
  <si>
    <t>Zhu: EHR Communications</t>
  </si>
  <si>
    <t>Grinnell project (ends 6/30)</t>
  </si>
  <si>
    <t>Baker/Sewell: PATHOME/Kenya</t>
  </si>
  <si>
    <t>2020-2021</t>
  </si>
  <si>
    <t>Sewell: UC Davis</t>
  </si>
  <si>
    <t>July 2020 - present</t>
  </si>
  <si>
    <t>Projected</t>
  </si>
  <si>
    <t xml:space="preserve">Daniel Sewell, PhD </t>
  </si>
  <si>
    <t>Salary Offset Summary</t>
  </si>
  <si>
    <t>2024-2025*</t>
  </si>
  <si>
    <t>5-Year Offset (includes current year)</t>
  </si>
  <si>
    <t>4-Year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</si>
</sst>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[$-409]mmmm\-yy;@"/>
    <numFmt numFmtId="165" formatCode="&quot;$&quot;#,##0.00"/>
    <numFmt numFmtId="166" formatCode="0.0%"/>
    <numFmt numFmtId="167" formatCode="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color indexed="8"/>
      <name val="Arial"/>
      <family val="2"/>
    </font>
    <font>
      <sz val="9"/>
      <color rgb="FFFF0000"/>
      <name val="Aptos Narrow"/>
      <family val="2"/>
      <scheme val="minor"/>
    </font>
    <font>
      <b/>
      <sz val="9"/>
      <color theme="1"/>
      <name val="Arial Narrow"/>
      <family val="2"/>
    </font>
    <font>
      <b/>
      <sz val="9"/>
      <color theme="1"/>
      <name val="Agency FB"/>
      <family val="2"/>
    </font>
    <font>
      <sz val="9"/>
      <color theme="1"/>
      <name val="Agency FB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54">
    <xf numFmtId="0" fontId="0" fillId="0" borderId="0" xfId="0"/>
    <xf numFmtId="0" fontId="4" fillId="0" borderId="2" xfId="0" applyFont="1" applyBorder="1"/>
    <xf numFmtId="165" fontId="3" fillId="2" borderId="5" xfId="0" applyNumberFormat="1" applyFont="1" applyFill="1" applyBorder="1" applyAlignment="1">
      <alignment horizontal="center" wrapText="1"/>
    </xf>
    <xf numFmtId="165" fontId="3" fillId="2" borderId="6" xfId="0" applyNumberFormat="1" applyFont="1" applyFill="1" applyBorder="1" applyAlignment="1">
      <alignment wrapText="1"/>
    </xf>
    <xf numFmtId="9" fontId="3" fillId="2" borderId="7" xfId="0" applyNumberFormat="1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/>
    <xf numFmtId="8" fontId="3" fillId="2" borderId="13" xfId="0" applyNumberFormat="1" applyFont="1" applyFill="1" applyBorder="1" applyAlignment="1">
      <alignment horizontal="right"/>
    </xf>
    <xf numFmtId="9" fontId="3" fillId="2" borderId="14" xfId="1" applyFont="1" applyFill="1" applyBorder="1" applyAlignment="1">
      <alignment horizontal="right"/>
    </xf>
    <xf numFmtId="8" fontId="3" fillId="2" borderId="15" xfId="0" applyNumberFormat="1" applyFont="1" applyFill="1" applyBorder="1" applyAlignment="1">
      <alignment horizontal="right"/>
    </xf>
    <xf numFmtId="165" fontId="3" fillId="2" borderId="16" xfId="1" applyNumberFormat="1" applyFont="1" applyFill="1" applyBorder="1" applyAlignment="1">
      <alignment horizontal="right" wrapText="1"/>
    </xf>
    <xf numFmtId="165" fontId="4" fillId="2" borderId="12" xfId="0" applyNumberFormat="1" applyFont="1" applyFill="1" applyBorder="1" applyAlignment="1">
      <alignment wrapText="1"/>
    </xf>
    <xf numFmtId="9" fontId="4" fillId="2" borderId="17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/>
    <xf numFmtId="8" fontId="4" fillId="3" borderId="5" xfId="0" applyNumberFormat="1" applyFont="1" applyFill="1" applyBorder="1" applyAlignment="1">
      <alignment horizontal="right"/>
    </xf>
    <xf numFmtId="9" fontId="4" fillId="3" borderId="6" xfId="1" applyFont="1" applyFill="1" applyBorder="1" applyAlignment="1">
      <alignment horizontal="right"/>
    </xf>
    <xf numFmtId="9" fontId="4" fillId="3" borderId="7" xfId="1" applyFont="1" applyFill="1" applyBorder="1" applyAlignment="1">
      <alignment horizontal="right"/>
    </xf>
    <xf numFmtId="165" fontId="4" fillId="3" borderId="18" xfId="1" applyNumberFormat="1" applyFont="1" applyFill="1" applyBorder="1" applyAlignment="1">
      <alignment horizontal="right" wrapText="1"/>
    </xf>
    <xf numFmtId="165" fontId="4" fillId="0" borderId="0" xfId="0" applyNumberFormat="1" applyFont="1" applyAlignment="1">
      <alignment wrapText="1"/>
    </xf>
    <xf numFmtId="9" fontId="4" fillId="0" borderId="0" xfId="0" applyNumberFormat="1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20" xfId="0" applyFont="1" applyBorder="1"/>
    <xf numFmtId="8" fontId="4" fillId="0" borderId="19" xfId="0" applyNumberFormat="1" applyFont="1" applyBorder="1" applyAlignment="1">
      <alignment horizontal="right"/>
    </xf>
    <xf numFmtId="9" fontId="4" fillId="0" borderId="0" xfId="1" applyFont="1" applyFill="1" applyBorder="1" applyAlignment="1">
      <alignment horizontal="right"/>
    </xf>
    <xf numFmtId="9" fontId="4" fillId="0" borderId="20" xfId="1" applyFont="1" applyFill="1" applyBorder="1" applyAlignment="1">
      <alignment horizontal="right"/>
    </xf>
    <xf numFmtId="165" fontId="4" fillId="0" borderId="10" xfId="1" applyNumberFormat="1" applyFont="1" applyFill="1" applyBorder="1" applyAlignment="1">
      <alignment horizontal="right" wrapText="1"/>
    </xf>
    <xf numFmtId="0" fontId="4" fillId="0" borderId="1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5" fillId="0" borderId="17" xfId="2" applyFont="1" applyBorder="1" applyAlignment="1">
      <alignment horizontal="left"/>
    </xf>
    <xf numFmtId="8" fontId="7" fillId="0" borderId="16" xfId="0" applyNumberFormat="1" applyFont="1" applyBorder="1" applyAlignment="1">
      <alignment horizontal="right"/>
    </xf>
    <xf numFmtId="9" fontId="4" fillId="0" borderId="17" xfId="1" applyFont="1" applyFill="1" applyBorder="1" applyAlignment="1">
      <alignment horizontal="right"/>
    </xf>
    <xf numFmtId="8" fontId="4" fillId="0" borderId="16" xfId="0" applyNumberFormat="1" applyFont="1" applyBorder="1" applyAlignment="1">
      <alignment horizontal="right"/>
    </xf>
    <xf numFmtId="9" fontId="4" fillId="0" borderId="12" xfId="1" applyFont="1" applyFill="1" applyBorder="1" applyAlignment="1">
      <alignment horizontal="right"/>
    </xf>
    <xf numFmtId="165" fontId="4" fillId="0" borderId="21" xfId="1" applyNumberFormat="1" applyFont="1" applyFill="1" applyBorder="1" applyAlignment="1">
      <alignment horizontal="right" wrapText="1"/>
    </xf>
    <xf numFmtId="0" fontId="4" fillId="0" borderId="0" xfId="0" applyFont="1"/>
    <xf numFmtId="8" fontId="3" fillId="0" borderId="22" xfId="0" applyNumberFormat="1" applyFont="1" applyBorder="1" applyAlignment="1">
      <alignment horizontal="right"/>
    </xf>
    <xf numFmtId="9" fontId="3" fillId="0" borderId="17" xfId="1" applyFont="1" applyBorder="1" applyAlignment="1">
      <alignment horizontal="right"/>
    </xf>
    <xf numFmtId="9" fontId="3" fillId="0" borderId="17" xfId="1" applyFont="1" applyFill="1" applyBorder="1" applyAlignment="1">
      <alignment horizontal="right"/>
    </xf>
    <xf numFmtId="0" fontId="2" fillId="0" borderId="0" xfId="0" applyFont="1"/>
    <xf numFmtId="0" fontId="3" fillId="2" borderId="23" xfId="0" applyFont="1" applyFill="1" applyBorder="1"/>
    <xf numFmtId="8" fontId="3" fillId="2" borderId="24" xfId="0" applyNumberFormat="1" applyFont="1" applyFill="1" applyBorder="1" applyAlignment="1">
      <alignment horizontal="right"/>
    </xf>
    <xf numFmtId="9" fontId="3" fillId="2" borderId="25" xfId="1" applyFont="1" applyFill="1" applyBorder="1" applyAlignment="1">
      <alignment horizontal="right"/>
    </xf>
    <xf numFmtId="8" fontId="3" fillId="2" borderId="26" xfId="0" applyNumberFormat="1" applyFont="1" applyFill="1" applyBorder="1" applyAlignment="1">
      <alignment horizontal="right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/>
    <xf numFmtId="8" fontId="4" fillId="0" borderId="27" xfId="0" applyNumberFormat="1" applyFont="1" applyBorder="1" applyAlignment="1">
      <alignment horizontal="right"/>
    </xf>
    <xf numFmtId="9" fontId="4" fillId="0" borderId="29" xfId="1" applyFont="1" applyFill="1" applyBorder="1" applyAlignment="1">
      <alignment horizontal="right"/>
    </xf>
    <xf numFmtId="165" fontId="4" fillId="4" borderId="0" xfId="1" applyNumberFormat="1" applyFont="1" applyFill="1" applyBorder="1" applyAlignment="1">
      <alignment horizontal="right" wrapText="1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1" xfId="0" quotePrefix="1" applyFont="1" applyBorder="1" applyAlignment="1">
      <alignment horizontal="center"/>
    </xf>
    <xf numFmtId="0" fontId="4" fillId="0" borderId="32" xfId="0" applyFont="1" applyBorder="1"/>
    <xf numFmtId="8" fontId="4" fillId="0" borderId="30" xfId="0" applyNumberFormat="1" applyFont="1" applyBorder="1" applyAlignment="1">
      <alignment horizontal="right"/>
    </xf>
    <xf numFmtId="9" fontId="4" fillId="0" borderId="32" xfId="1" applyFont="1" applyFill="1" applyBorder="1" applyAlignment="1">
      <alignment horizontal="right"/>
    </xf>
    <xf numFmtId="165" fontId="4" fillId="0" borderId="0" xfId="1" applyNumberFormat="1" applyFont="1" applyFill="1" applyBorder="1" applyAlignment="1">
      <alignment horizontal="right" wrapText="1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4" xfId="0" quotePrefix="1" applyFont="1" applyBorder="1" applyAlignment="1">
      <alignment horizontal="center"/>
    </xf>
    <xf numFmtId="0" fontId="4" fillId="0" borderId="35" xfId="0" applyFont="1" applyBorder="1"/>
    <xf numFmtId="8" fontId="4" fillId="0" borderId="33" xfId="0" applyNumberFormat="1" applyFont="1" applyBorder="1" applyAlignment="1">
      <alignment horizontal="right"/>
    </xf>
    <xf numFmtId="9" fontId="4" fillId="0" borderId="35" xfId="1" applyFont="1" applyFill="1" applyBorder="1" applyAlignment="1">
      <alignment horizontal="right"/>
    </xf>
    <xf numFmtId="8" fontId="5" fillId="0" borderId="33" xfId="0" applyNumberFormat="1" applyFont="1" applyBorder="1" applyAlignment="1">
      <alignment horizontal="right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7" xfId="0" quotePrefix="1" applyFont="1" applyBorder="1" applyAlignment="1">
      <alignment horizontal="center"/>
    </xf>
    <xf numFmtId="0" fontId="5" fillId="0" borderId="38" xfId="2" applyFont="1" applyBorder="1" applyAlignment="1">
      <alignment horizontal="left"/>
    </xf>
    <xf numFmtId="8" fontId="4" fillId="0" borderId="36" xfId="0" applyNumberFormat="1" applyFont="1" applyBorder="1" applyAlignment="1">
      <alignment horizontal="right"/>
    </xf>
    <xf numFmtId="9" fontId="4" fillId="0" borderId="38" xfId="1" applyFont="1" applyFill="1" applyBorder="1" applyAlignment="1">
      <alignment horizontal="right"/>
    </xf>
    <xf numFmtId="165" fontId="3" fillId="5" borderId="1" xfId="1" applyNumberFormat="1" applyFont="1" applyFill="1" applyBorder="1" applyAlignment="1">
      <alignment horizontal="right" wrapText="1"/>
    </xf>
    <xf numFmtId="165" fontId="3" fillId="5" borderId="2" xfId="0" applyNumberFormat="1" applyFont="1" applyFill="1" applyBorder="1" applyAlignment="1">
      <alignment wrapText="1"/>
    </xf>
    <xf numFmtId="9" fontId="3" fillId="5" borderId="4" xfId="0" applyNumberFormat="1" applyFont="1" applyFill="1" applyBorder="1" applyAlignment="1">
      <alignment horizontal="center"/>
    </xf>
    <xf numFmtId="165" fontId="8" fillId="2" borderId="5" xfId="0" applyNumberFormat="1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8" fillId="2" borderId="39" xfId="0" applyFont="1" applyFill="1" applyBorder="1"/>
    <xf numFmtId="8" fontId="8" fillId="2" borderId="13" xfId="0" applyNumberFormat="1" applyFont="1" applyFill="1" applyBorder="1" applyAlignment="1">
      <alignment horizontal="right"/>
    </xf>
    <xf numFmtId="9" fontId="8" fillId="2" borderId="14" xfId="1" applyFont="1" applyFill="1" applyBorder="1" applyAlignment="1">
      <alignment horizontal="right"/>
    </xf>
    <xf numFmtId="8" fontId="8" fillId="2" borderId="15" xfId="0" applyNumberFormat="1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 wrapText="1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1" xfId="0" quotePrefix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4" xfId="0" quotePrefix="1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7" xfId="0" quotePrefix="1" applyFont="1" applyBorder="1" applyAlignment="1">
      <alignment horizontal="center"/>
    </xf>
    <xf numFmtId="0" fontId="11" fillId="0" borderId="38" xfId="2" applyFont="1" applyBorder="1" applyAlignment="1">
      <alignment horizontal="left"/>
    </xf>
    <xf numFmtId="0" fontId="10" fillId="0" borderId="0" xfId="0" applyFont="1" applyAlignment="1">
      <alignment horizontal="center"/>
    </xf>
    <xf numFmtId="9" fontId="8" fillId="2" borderId="18" xfId="1" applyFont="1" applyFill="1" applyBorder="1" applyAlignment="1">
      <alignment horizontal="right"/>
    </xf>
    <xf numFmtId="49" fontId="0" fillId="0" borderId="0" xfId="0" applyNumberFormat="1"/>
    <xf numFmtId="49" fontId="3" fillId="2" borderId="9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49" fontId="4" fillId="0" borderId="31" xfId="0" applyNumberFormat="1" applyFont="1" applyBorder="1" applyAlignment="1">
      <alignment horizontal="center"/>
    </xf>
    <xf numFmtId="49" fontId="9" fillId="2" borderId="9" xfId="0" applyNumberFormat="1" applyFont="1" applyFill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49" fontId="10" fillId="0" borderId="34" xfId="0" applyNumberFormat="1" applyFont="1" applyBorder="1" applyAlignment="1">
      <alignment horizontal="center"/>
    </xf>
    <xf numFmtId="49" fontId="10" fillId="0" borderId="3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8" fontId="3" fillId="6" borderId="15" xfId="0" applyNumberFormat="1" applyFont="1" applyFill="1" applyBorder="1" applyAlignment="1">
      <alignment horizontal="right"/>
    </xf>
    <xf numFmtId="9" fontId="3" fillId="6" borderId="14" xfId="1" applyFont="1" applyFill="1" applyBorder="1" applyAlignment="1">
      <alignment horizontal="right"/>
    </xf>
    <xf numFmtId="8" fontId="3" fillId="6" borderId="13" xfId="0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 wrapText="1"/>
    </xf>
    <xf numFmtId="165" fontId="3" fillId="0" borderId="2" xfId="0" applyNumberFormat="1" applyFont="1" applyBorder="1" applyAlignment="1">
      <alignment wrapText="1"/>
    </xf>
    <xf numFmtId="9" fontId="3" fillId="0" borderId="4" xfId="0" applyNumberFormat="1" applyFont="1" applyBorder="1" applyAlignment="1">
      <alignment horizontal="center"/>
    </xf>
    <xf numFmtId="165" fontId="4" fillId="3" borderId="6" xfId="1" applyNumberFormat="1" applyFont="1" applyFill="1" applyBorder="1" applyAlignment="1">
      <alignment horizontal="right" wrapText="1"/>
    </xf>
    <xf numFmtId="165" fontId="4" fillId="0" borderId="12" xfId="1" applyNumberFormat="1" applyFont="1" applyFill="1" applyBorder="1" applyAlignment="1">
      <alignment horizontal="right" wrapText="1"/>
    </xf>
    <xf numFmtId="8" fontId="5" fillId="0" borderId="16" xfId="0" applyNumberFormat="1" applyFont="1" applyBorder="1" applyAlignment="1">
      <alignment horizontal="right"/>
    </xf>
    <xf numFmtId="9" fontId="5" fillId="0" borderId="12" xfId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9" fontId="4" fillId="5" borderId="17" xfId="0" applyNumberFormat="1" applyFont="1" applyFill="1" applyBorder="1" applyAlignment="1">
      <alignment horizontal="center"/>
    </xf>
    <xf numFmtId="9" fontId="0" fillId="0" borderId="0" xfId="0" applyNumberFormat="1"/>
    <xf numFmtId="9" fontId="2" fillId="0" borderId="0" xfId="0" applyNumberFormat="1" applyFont="1"/>
    <xf numFmtId="0" fontId="0" fillId="0" borderId="0" xfId="0" applyAlignment="1">
      <alignment horizontal="left"/>
    </xf>
    <xf numFmtId="166" fontId="4" fillId="0" borderId="29" xfId="1" applyNumberFormat="1" applyFont="1" applyFill="1" applyBorder="1" applyAlignment="1">
      <alignment horizontal="right"/>
    </xf>
    <xf numFmtId="9" fontId="4" fillId="5" borderId="4" xfId="0" applyNumberFormat="1" applyFont="1" applyFill="1" applyBorder="1" applyAlignment="1">
      <alignment horizontal="center"/>
    </xf>
    <xf numFmtId="165" fontId="3" fillId="6" borderId="5" xfId="0" applyNumberFormat="1" applyFont="1" applyFill="1" applyBorder="1" applyAlignment="1">
      <alignment horizontal="center" wrapText="1"/>
    </xf>
    <xf numFmtId="165" fontId="3" fillId="6" borderId="6" xfId="0" applyNumberFormat="1" applyFont="1" applyFill="1" applyBorder="1" applyAlignment="1">
      <alignment wrapText="1"/>
    </xf>
    <xf numFmtId="9" fontId="3" fillId="6" borderId="7" xfId="0" applyNumberFormat="1" applyFont="1" applyFill="1" applyBorder="1" applyAlignment="1">
      <alignment horizontal="center"/>
    </xf>
    <xf numFmtId="165" fontId="3" fillId="6" borderId="16" xfId="1" applyNumberFormat="1" applyFont="1" applyFill="1" applyBorder="1" applyAlignment="1">
      <alignment horizontal="right" wrapText="1"/>
    </xf>
    <xf numFmtId="165" fontId="4" fillId="6" borderId="12" xfId="0" applyNumberFormat="1" applyFont="1" applyFill="1" applyBorder="1" applyAlignment="1">
      <alignment wrapText="1"/>
    </xf>
    <xf numFmtId="9" fontId="4" fillId="6" borderId="17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right"/>
    </xf>
    <xf numFmtId="164" fontId="8" fillId="2" borderId="1" xfId="0" applyNumberFormat="1" applyFont="1" applyFill="1" applyBorder="1" applyAlignment="1">
      <alignment horizontal="center"/>
    </xf>
    <xf numFmtId="164" fontId="8" fillId="2" borderId="4" xfId="0" applyNumberFormat="1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3" fillId="6" borderId="4" xfId="0" applyNumberFormat="1" applyFont="1" applyFill="1" applyBorder="1" applyAlignment="1">
      <alignment horizontal="center"/>
    </xf>
  </cellXfs>
  <cellStyles count="3">
    <cellStyle name="Normal" xfId="0" builtinId="0"/>
    <cellStyle name="Normal_Sheet2" xfId="2" xr:uid="{D7B68047-8AA7-40C0-B417-B6240B17468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66E3-32BC-4B29-8A88-444D786648A8}">
  <dimension ref="A1:AM60"/>
  <sheetViews>
    <sheetView workbookViewId="0">
      <selection activeCell="J7" sqref="J7"/>
    </sheetView>
  </sheetViews>
  <sheetFormatPr defaultRowHeight="15" x14ac:dyDescent="0.25"/>
  <cols>
    <col min="1" max="4" width="5.42578125" customWidth="1"/>
    <col min="5" max="5" width="7.85546875" style="102" bestFit="1" customWidth="1"/>
    <col min="6" max="9" width="5.42578125" customWidth="1"/>
    <col min="10" max="10" width="31.5703125" customWidth="1"/>
    <col min="11" max="11" width="9.28515625" bestFit="1" customWidth="1"/>
    <col min="35" max="36" width="9.5703125" bestFit="1" customWidth="1"/>
    <col min="37" max="37" width="10.140625" bestFit="1" customWidth="1"/>
  </cols>
  <sheetData>
    <row r="1" spans="1:38" x14ac:dyDescent="0.25">
      <c r="A1" t="s">
        <v>31</v>
      </c>
    </row>
    <row r="2" spans="1:38" x14ac:dyDescent="0.25">
      <c r="A2" t="s">
        <v>32</v>
      </c>
    </row>
    <row r="3" spans="1:38" x14ac:dyDescent="0.25">
      <c r="A3" t="s">
        <v>49</v>
      </c>
    </row>
    <row r="4" spans="1:38" ht="15.75" thickBot="1" x14ac:dyDescent="0.3">
      <c r="O4" s="145" t="s">
        <v>50</v>
      </c>
      <c r="P4" s="146"/>
    </row>
    <row r="5" spans="1:38" ht="25.5" thickBot="1" x14ac:dyDescent="0.3">
      <c r="A5" s="147" t="s">
        <v>0</v>
      </c>
      <c r="B5" s="148"/>
      <c r="C5" s="148"/>
      <c r="D5" s="148"/>
      <c r="E5" s="148"/>
      <c r="F5" s="148" t="s">
        <v>35</v>
      </c>
      <c r="G5" s="148"/>
      <c r="H5" s="148"/>
      <c r="I5" s="148"/>
      <c r="J5" s="1"/>
      <c r="K5" s="149">
        <v>45474</v>
      </c>
      <c r="L5" s="150"/>
      <c r="M5" s="149">
        <v>45505</v>
      </c>
      <c r="N5" s="150"/>
      <c r="O5" s="152">
        <v>45536</v>
      </c>
      <c r="P5" s="153"/>
      <c r="Q5" s="152">
        <v>45566</v>
      </c>
      <c r="R5" s="153"/>
      <c r="S5" s="152">
        <v>45597</v>
      </c>
      <c r="T5" s="153"/>
      <c r="U5" s="152">
        <v>45627</v>
      </c>
      <c r="V5" s="153"/>
      <c r="W5" s="152">
        <v>45658</v>
      </c>
      <c r="X5" s="153"/>
      <c r="Y5" s="152">
        <v>45689</v>
      </c>
      <c r="Z5" s="153"/>
      <c r="AA5" s="152">
        <v>45717</v>
      </c>
      <c r="AB5" s="153"/>
      <c r="AC5" s="152">
        <v>45748</v>
      </c>
      <c r="AD5" s="153"/>
      <c r="AE5" s="152">
        <v>45778</v>
      </c>
      <c r="AF5" s="153"/>
      <c r="AG5" s="152">
        <v>45809</v>
      </c>
      <c r="AH5" s="153"/>
      <c r="AI5" s="136" t="s">
        <v>1</v>
      </c>
      <c r="AJ5" s="137" t="s">
        <v>2</v>
      </c>
      <c r="AK5" s="138" t="s">
        <v>3</v>
      </c>
      <c r="AL5" s="5"/>
    </row>
    <row r="6" spans="1:38" ht="15.75" thickBot="1" x14ac:dyDescent="0.3">
      <c r="A6" s="6" t="s">
        <v>4</v>
      </c>
      <c r="B6" s="7" t="s">
        <v>5</v>
      </c>
      <c r="C6" s="7" t="s">
        <v>6</v>
      </c>
      <c r="D6" s="7" t="s">
        <v>7</v>
      </c>
      <c r="E6" s="103" t="s">
        <v>8</v>
      </c>
      <c r="F6" s="7" t="s">
        <v>9</v>
      </c>
      <c r="G6" s="7" t="s">
        <v>10</v>
      </c>
      <c r="H6" s="7" t="s">
        <v>11</v>
      </c>
      <c r="I6" s="8" t="s">
        <v>12</v>
      </c>
      <c r="J6" s="9" t="s">
        <v>13</v>
      </c>
      <c r="K6" s="10" t="s">
        <v>14</v>
      </c>
      <c r="L6" s="11" t="s">
        <v>15</v>
      </c>
      <c r="M6" s="10" t="s">
        <v>14</v>
      </c>
      <c r="N6" s="11" t="s">
        <v>15</v>
      </c>
      <c r="O6" s="117" t="s">
        <v>14</v>
      </c>
      <c r="P6" s="118" t="s">
        <v>15</v>
      </c>
      <c r="Q6" s="119" t="s">
        <v>14</v>
      </c>
      <c r="R6" s="118" t="s">
        <v>15</v>
      </c>
      <c r="S6" s="119" t="s">
        <v>14</v>
      </c>
      <c r="T6" s="118" t="s">
        <v>15</v>
      </c>
      <c r="U6" s="119" t="s">
        <v>14</v>
      </c>
      <c r="V6" s="118" t="s">
        <v>15</v>
      </c>
      <c r="W6" s="119" t="s">
        <v>14</v>
      </c>
      <c r="X6" s="118" t="s">
        <v>15</v>
      </c>
      <c r="Y6" s="119" t="s">
        <v>14</v>
      </c>
      <c r="Z6" s="118" t="s">
        <v>15</v>
      </c>
      <c r="AA6" s="119" t="s">
        <v>14</v>
      </c>
      <c r="AB6" s="118" t="s">
        <v>15</v>
      </c>
      <c r="AC6" s="119" t="s">
        <v>14</v>
      </c>
      <c r="AD6" s="118" t="s">
        <v>15</v>
      </c>
      <c r="AE6" s="119" t="s">
        <v>14</v>
      </c>
      <c r="AF6" s="118" t="s">
        <v>15</v>
      </c>
      <c r="AG6" s="119" t="s">
        <v>14</v>
      </c>
      <c r="AH6" s="118" t="s">
        <v>15</v>
      </c>
      <c r="AI6" s="139"/>
      <c r="AJ6" s="140"/>
      <c r="AK6" s="141"/>
      <c r="AL6" s="5"/>
    </row>
    <row r="7" spans="1:38" x14ac:dyDescent="0.25">
      <c r="A7" s="16" t="s">
        <v>16</v>
      </c>
      <c r="B7" s="17" t="s">
        <v>17</v>
      </c>
      <c r="C7" s="17" t="s">
        <v>18</v>
      </c>
      <c r="D7" s="17" t="s">
        <v>19</v>
      </c>
      <c r="E7" s="104" t="s">
        <v>20</v>
      </c>
      <c r="F7" s="17" t="s">
        <v>21</v>
      </c>
      <c r="G7" s="17" t="s">
        <v>22</v>
      </c>
      <c r="H7" s="17" t="s">
        <v>19</v>
      </c>
      <c r="I7" s="17" t="s">
        <v>23</v>
      </c>
      <c r="J7" s="18" t="s">
        <v>24</v>
      </c>
      <c r="K7" s="19">
        <v>1133.4100000000001</v>
      </c>
      <c r="L7" s="20">
        <v>0.09</v>
      </c>
      <c r="M7" s="19">
        <v>3339.97</v>
      </c>
      <c r="N7" s="20">
        <v>0.27</v>
      </c>
      <c r="O7" s="19">
        <v>4710.1899999999996</v>
      </c>
      <c r="P7" s="21">
        <v>0.38</v>
      </c>
      <c r="Q7" s="19">
        <v>4710.1899999999996</v>
      </c>
      <c r="R7" s="21">
        <v>0.38</v>
      </c>
      <c r="S7" s="19">
        <v>4710.1899999999996</v>
      </c>
      <c r="T7" s="21">
        <v>0.38</v>
      </c>
      <c r="U7" s="19">
        <v>1475.69</v>
      </c>
      <c r="V7" s="21">
        <v>0.15</v>
      </c>
      <c r="W7" s="19">
        <v>1475.69</v>
      </c>
      <c r="X7" s="21">
        <v>0.15</v>
      </c>
      <c r="Y7" s="19">
        <v>1475.69</v>
      </c>
      <c r="Z7" s="21">
        <v>0.15</v>
      </c>
      <c r="AA7" s="19">
        <v>1475.69</v>
      </c>
      <c r="AB7" s="21">
        <v>0.15</v>
      </c>
      <c r="AC7" s="19">
        <v>1475.69</v>
      </c>
      <c r="AD7" s="21">
        <v>0.15</v>
      </c>
      <c r="AE7" s="19">
        <v>1475.69</v>
      </c>
      <c r="AF7" s="21">
        <v>0.15</v>
      </c>
      <c r="AG7" s="19">
        <v>1475.69</v>
      </c>
      <c r="AH7" s="21">
        <v>0.15</v>
      </c>
      <c r="AI7" s="123">
        <f t="shared" ref="AI7:AI13" si="0">SUM(K7,M7,O7,Q7,S7,U7,W7, Y7,AA7,AC7,AE7,AG7)</f>
        <v>28933.779999999988</v>
      </c>
      <c r="AJ7" s="23"/>
      <c r="AK7" s="24"/>
      <c r="AL7" s="5"/>
    </row>
    <row r="8" spans="1:38" x14ac:dyDescent="0.25">
      <c r="A8" s="25">
        <v>510</v>
      </c>
      <c r="B8" s="26">
        <v>20</v>
      </c>
      <c r="C8" s="26">
        <v>5225</v>
      </c>
      <c r="D8" s="27" t="s">
        <v>19</v>
      </c>
      <c r="E8" s="105">
        <v>11298401</v>
      </c>
      <c r="F8" s="26">
        <v>5002</v>
      </c>
      <c r="G8" s="27" t="s">
        <v>22</v>
      </c>
      <c r="H8" s="27" t="s">
        <v>19</v>
      </c>
      <c r="I8" s="26">
        <v>20</v>
      </c>
      <c r="J8" s="28" t="s">
        <v>25</v>
      </c>
      <c r="K8" s="29">
        <v>1200.03</v>
      </c>
      <c r="L8" s="30">
        <v>0.1</v>
      </c>
      <c r="M8" s="29">
        <v>1200.03</v>
      </c>
      <c r="N8" s="30">
        <v>0.1</v>
      </c>
      <c r="O8" s="29">
        <v>1200.03</v>
      </c>
      <c r="P8" s="30">
        <v>0.1</v>
      </c>
      <c r="Q8" s="29">
        <v>1200.03</v>
      </c>
      <c r="R8" s="30">
        <v>0.1</v>
      </c>
      <c r="S8" s="29">
        <v>1200.03</v>
      </c>
      <c r="T8" s="30">
        <v>0.1</v>
      </c>
      <c r="U8" s="29">
        <v>1200.03</v>
      </c>
      <c r="V8" s="30">
        <v>0.1</v>
      </c>
      <c r="W8" s="29">
        <v>1200.03</v>
      </c>
      <c r="X8" s="30">
        <v>0.1</v>
      </c>
      <c r="Y8" s="29">
        <v>1200.03</v>
      </c>
      <c r="Z8" s="30">
        <v>0.1</v>
      </c>
      <c r="AA8" s="29">
        <v>1200.03</v>
      </c>
      <c r="AB8" s="30">
        <v>0.1</v>
      </c>
      <c r="AC8" s="29">
        <v>1200.03</v>
      </c>
      <c r="AD8" s="30">
        <v>0.1</v>
      </c>
      <c r="AE8" s="29">
        <v>1200.03</v>
      </c>
      <c r="AF8" s="30">
        <v>0.1</v>
      </c>
      <c r="AG8" s="29">
        <v>1200.03</v>
      </c>
      <c r="AH8" s="31">
        <v>0.1</v>
      </c>
      <c r="AI8" s="63">
        <f t="shared" si="0"/>
        <v>14400.360000000002</v>
      </c>
      <c r="AJ8" s="23"/>
      <c r="AK8" s="24"/>
      <c r="AL8" s="5"/>
    </row>
    <row r="9" spans="1:38" x14ac:dyDescent="0.25">
      <c r="A9" s="25">
        <v>510</v>
      </c>
      <c r="B9" s="26">
        <v>11</v>
      </c>
      <c r="C9" s="26">
        <v>1110</v>
      </c>
      <c r="D9" s="27" t="s">
        <v>26</v>
      </c>
      <c r="E9" s="105">
        <v>11317900</v>
      </c>
      <c r="F9" s="26">
        <v>5002</v>
      </c>
      <c r="G9" s="27" t="s">
        <v>22</v>
      </c>
      <c r="H9" s="27" t="s">
        <v>19</v>
      </c>
      <c r="I9" s="26">
        <v>20</v>
      </c>
      <c r="J9" s="28" t="s">
        <v>27</v>
      </c>
      <c r="K9" s="29">
        <v>1859.75</v>
      </c>
      <c r="L9" s="30">
        <v>0.15</v>
      </c>
      <c r="M9" s="29">
        <v>1859.75</v>
      </c>
      <c r="N9" s="30">
        <v>0.15</v>
      </c>
      <c r="O9" s="29">
        <v>1859.75</v>
      </c>
      <c r="P9" s="30">
        <v>0.15</v>
      </c>
      <c r="Q9" s="29">
        <v>1859.75</v>
      </c>
      <c r="R9" s="30">
        <v>0.15</v>
      </c>
      <c r="S9" s="29">
        <v>1859.75</v>
      </c>
      <c r="T9" s="30">
        <v>0.15</v>
      </c>
      <c r="U9" s="29">
        <v>1859.75</v>
      </c>
      <c r="V9" s="30">
        <v>0.15</v>
      </c>
      <c r="W9" s="29">
        <v>1859.75</v>
      </c>
      <c r="X9" s="30">
        <v>0.15</v>
      </c>
      <c r="Y9" s="29">
        <v>1859.75</v>
      </c>
      <c r="Z9" s="30">
        <v>0.15</v>
      </c>
      <c r="AA9" s="29">
        <v>1859.75</v>
      </c>
      <c r="AB9" s="30">
        <v>0.15</v>
      </c>
      <c r="AC9" s="29">
        <v>1859.75</v>
      </c>
      <c r="AD9" s="30">
        <v>0.15</v>
      </c>
      <c r="AE9" s="29">
        <v>1859.75</v>
      </c>
      <c r="AF9" s="30">
        <v>0.15</v>
      </c>
      <c r="AG9" s="29">
        <v>1859.75</v>
      </c>
      <c r="AH9" s="31">
        <v>0.15</v>
      </c>
      <c r="AI9" s="63">
        <f t="shared" si="0"/>
        <v>22317</v>
      </c>
      <c r="AJ9" s="23"/>
      <c r="AK9" s="24"/>
      <c r="AL9" s="5"/>
    </row>
    <row r="10" spans="1:38" x14ac:dyDescent="0.25">
      <c r="A10" s="25">
        <v>510</v>
      </c>
      <c r="B10" s="26">
        <v>19</v>
      </c>
      <c r="C10" s="26">
        <v>4105</v>
      </c>
      <c r="D10" s="27" t="s">
        <v>19</v>
      </c>
      <c r="E10" s="105">
        <v>11310300</v>
      </c>
      <c r="F10" s="26">
        <v>5002</v>
      </c>
      <c r="G10" s="27" t="s">
        <v>22</v>
      </c>
      <c r="H10" s="27" t="s">
        <v>19</v>
      </c>
      <c r="I10" s="26">
        <v>20</v>
      </c>
      <c r="J10" s="28" t="s">
        <v>28</v>
      </c>
      <c r="K10" s="29">
        <v>1094.99</v>
      </c>
      <c r="L10" s="30">
        <v>0.09</v>
      </c>
      <c r="M10" s="29">
        <v>1094.99</v>
      </c>
      <c r="N10" s="30">
        <v>0.09</v>
      </c>
      <c r="O10" s="29">
        <v>1094.99</v>
      </c>
      <c r="P10" s="30">
        <v>0.09</v>
      </c>
      <c r="Q10" s="29">
        <v>1094.99</v>
      </c>
      <c r="R10" s="30">
        <v>0.09</v>
      </c>
      <c r="S10" s="29">
        <v>1094.99</v>
      </c>
      <c r="T10" s="30">
        <v>0.09</v>
      </c>
      <c r="U10" s="29">
        <v>1094.99</v>
      </c>
      <c r="V10" s="30">
        <v>0.09</v>
      </c>
      <c r="W10" s="29">
        <v>1094.99</v>
      </c>
      <c r="X10" s="30">
        <v>0.09</v>
      </c>
      <c r="Y10" s="29">
        <v>1094.99</v>
      </c>
      <c r="Z10" s="30">
        <v>0.09</v>
      </c>
      <c r="AA10" s="29">
        <v>1094.99</v>
      </c>
      <c r="AB10" s="30">
        <v>0.09</v>
      </c>
      <c r="AC10" s="29">
        <v>1094.99</v>
      </c>
      <c r="AD10" s="30">
        <v>0.09</v>
      </c>
      <c r="AE10" s="29">
        <v>1094.99</v>
      </c>
      <c r="AF10" s="30">
        <v>0.09</v>
      </c>
      <c r="AG10" s="29">
        <v>1094.99</v>
      </c>
      <c r="AH10" s="31">
        <v>0.09</v>
      </c>
      <c r="AI10" s="63">
        <f t="shared" si="0"/>
        <v>13139.88</v>
      </c>
      <c r="AJ10" s="23"/>
      <c r="AK10" s="24"/>
      <c r="AL10" s="5"/>
    </row>
    <row r="11" spans="1:38" x14ac:dyDescent="0.25">
      <c r="A11" s="25">
        <v>510</v>
      </c>
      <c r="B11" s="26">
        <v>20</v>
      </c>
      <c r="C11" s="26">
        <v>5220</v>
      </c>
      <c r="D11" s="27" t="s">
        <v>19</v>
      </c>
      <c r="E11" s="105">
        <v>11328900</v>
      </c>
      <c r="F11" s="26">
        <v>5002</v>
      </c>
      <c r="G11" s="27" t="s">
        <v>22</v>
      </c>
      <c r="H11" s="27" t="s">
        <v>19</v>
      </c>
      <c r="I11" s="26">
        <v>20</v>
      </c>
      <c r="J11" s="28" t="s">
        <v>29</v>
      </c>
      <c r="K11" s="29">
        <v>391.67</v>
      </c>
      <c r="L11" s="30">
        <v>0.03</v>
      </c>
      <c r="M11" s="29">
        <v>391.67</v>
      </c>
      <c r="N11" s="30">
        <v>0.03</v>
      </c>
      <c r="O11" s="29">
        <v>391.67</v>
      </c>
      <c r="P11" s="30">
        <v>0.03</v>
      </c>
      <c r="Q11" s="29">
        <v>391.67</v>
      </c>
      <c r="R11" s="30">
        <v>0.03</v>
      </c>
      <c r="S11" s="29">
        <v>391.67</v>
      </c>
      <c r="T11" s="30">
        <v>0.03</v>
      </c>
      <c r="U11" s="29">
        <v>391.67</v>
      </c>
      <c r="V11" s="30">
        <v>0.03</v>
      </c>
      <c r="W11" s="29">
        <v>391.67</v>
      </c>
      <c r="X11" s="30">
        <v>0.03</v>
      </c>
      <c r="Y11" s="29">
        <v>391.67</v>
      </c>
      <c r="Z11" s="30">
        <v>0.03</v>
      </c>
      <c r="AA11" s="29">
        <v>391.67</v>
      </c>
      <c r="AB11" s="30">
        <v>0.03</v>
      </c>
      <c r="AC11" s="29">
        <v>391.67</v>
      </c>
      <c r="AD11" s="30">
        <v>0.03</v>
      </c>
      <c r="AE11" s="29">
        <v>391.67</v>
      </c>
      <c r="AF11" s="30">
        <v>0.03</v>
      </c>
      <c r="AG11" s="29">
        <v>391.67</v>
      </c>
      <c r="AH11" s="31">
        <v>0.03</v>
      </c>
      <c r="AI11" s="63">
        <f t="shared" si="0"/>
        <v>4700.04</v>
      </c>
      <c r="AJ11" s="23"/>
      <c r="AK11" s="24"/>
      <c r="AL11" s="5"/>
    </row>
    <row r="12" spans="1:38" x14ac:dyDescent="0.25">
      <c r="A12" s="25">
        <v>510</v>
      </c>
      <c r="B12" s="26">
        <v>20</v>
      </c>
      <c r="C12" s="26">
        <v>5220</v>
      </c>
      <c r="D12" s="27" t="s">
        <v>19</v>
      </c>
      <c r="E12" s="105">
        <v>11320500</v>
      </c>
      <c r="F12" s="26">
        <v>5002</v>
      </c>
      <c r="G12" s="27" t="s">
        <v>22</v>
      </c>
      <c r="H12" s="27" t="s">
        <v>19</v>
      </c>
      <c r="I12" s="26">
        <v>20</v>
      </c>
      <c r="J12" s="28" t="s">
        <v>30</v>
      </c>
      <c r="K12" s="29">
        <v>3110</v>
      </c>
      <c r="L12" s="30">
        <v>0.25</v>
      </c>
      <c r="M12" s="29">
        <v>3110</v>
      </c>
      <c r="N12" s="30">
        <v>0.2515</v>
      </c>
      <c r="O12" s="29">
        <v>3110</v>
      </c>
      <c r="P12" s="30">
        <v>0.25</v>
      </c>
      <c r="Q12" s="29">
        <v>3110</v>
      </c>
      <c r="R12" s="30">
        <v>0.25</v>
      </c>
      <c r="S12" s="29">
        <v>3110</v>
      </c>
      <c r="T12" s="30">
        <v>0.25</v>
      </c>
      <c r="U12" s="29">
        <v>3110</v>
      </c>
      <c r="V12" s="30">
        <v>0.25</v>
      </c>
      <c r="W12" s="29">
        <v>3110</v>
      </c>
      <c r="X12" s="30">
        <v>0.25</v>
      </c>
      <c r="Y12" s="29">
        <v>3110</v>
      </c>
      <c r="Z12" s="30">
        <v>0.25</v>
      </c>
      <c r="AA12" s="29">
        <v>3110</v>
      </c>
      <c r="AB12" s="30">
        <v>0.25</v>
      </c>
      <c r="AC12" s="29">
        <v>3110</v>
      </c>
      <c r="AD12" s="30">
        <v>0.25</v>
      </c>
      <c r="AE12" s="29">
        <v>3110</v>
      </c>
      <c r="AF12" s="30">
        <v>0.25</v>
      </c>
      <c r="AG12" s="29">
        <v>3110</v>
      </c>
      <c r="AH12" s="31">
        <v>0.25</v>
      </c>
      <c r="AI12" s="63">
        <f t="shared" si="0"/>
        <v>37320</v>
      </c>
      <c r="AJ12" s="23"/>
      <c r="AK12" s="24"/>
      <c r="AL12" s="5"/>
    </row>
    <row r="13" spans="1:38" ht="15.75" thickBot="1" x14ac:dyDescent="0.3">
      <c r="A13" s="33">
        <v>510</v>
      </c>
      <c r="B13" s="34">
        <v>20</v>
      </c>
      <c r="C13" s="34">
        <v>5220</v>
      </c>
      <c r="D13" s="35" t="s">
        <v>19</v>
      </c>
      <c r="E13" s="106">
        <v>12404400</v>
      </c>
      <c r="F13" s="34">
        <v>5002</v>
      </c>
      <c r="G13" s="35" t="s">
        <v>22</v>
      </c>
      <c r="H13" s="35" t="s">
        <v>19</v>
      </c>
      <c r="I13" s="34">
        <v>20</v>
      </c>
      <c r="J13" s="36" t="s">
        <v>48</v>
      </c>
      <c r="K13" s="125">
        <v>3576.78</v>
      </c>
      <c r="L13" s="126">
        <v>0.28999999999999998</v>
      </c>
      <c r="M13" s="125">
        <v>1370.22</v>
      </c>
      <c r="N13" s="126">
        <v>0.11</v>
      </c>
      <c r="O13" s="37"/>
      <c r="P13" s="38">
        <v>0</v>
      </c>
      <c r="Q13" s="37"/>
      <c r="R13" s="38">
        <v>0</v>
      </c>
      <c r="S13" s="37"/>
      <c r="T13" s="38">
        <v>0</v>
      </c>
      <c r="U13" s="39">
        <v>3234.5</v>
      </c>
      <c r="V13" s="38">
        <v>0.23</v>
      </c>
      <c r="W13" s="39">
        <v>3234.5</v>
      </c>
      <c r="X13" s="38">
        <v>0.23</v>
      </c>
      <c r="Y13" s="39">
        <v>3234.5</v>
      </c>
      <c r="Z13" s="38">
        <v>0.23</v>
      </c>
      <c r="AA13" s="39">
        <v>3234.5</v>
      </c>
      <c r="AB13" s="38">
        <v>0.23</v>
      </c>
      <c r="AC13" s="39">
        <v>3234.5</v>
      </c>
      <c r="AD13" s="38">
        <v>0.23</v>
      </c>
      <c r="AE13" s="39">
        <v>3234.5</v>
      </c>
      <c r="AF13" s="38">
        <v>0.23</v>
      </c>
      <c r="AG13" s="39">
        <v>3234.5</v>
      </c>
      <c r="AH13" s="38">
        <v>0.23</v>
      </c>
      <c r="AI13" s="124">
        <f t="shared" si="0"/>
        <v>27588.5</v>
      </c>
      <c r="AJ13" s="23"/>
      <c r="AK13" s="24"/>
      <c r="AL13" s="5"/>
    </row>
    <row r="14" spans="1:38" ht="15.75" thickBot="1" x14ac:dyDescent="0.3">
      <c r="A14" s="26"/>
      <c r="B14" s="26"/>
      <c r="C14" s="26"/>
      <c r="D14" s="26"/>
      <c r="E14" s="105"/>
      <c r="F14" s="26"/>
      <c r="G14" s="26"/>
      <c r="H14" s="26"/>
      <c r="I14" s="26"/>
      <c r="J14" s="42"/>
      <c r="K14" s="43">
        <f t="shared" ref="K14:AI14" si="1">SUM(K7:K13)</f>
        <v>12366.630000000001</v>
      </c>
      <c r="L14" s="44">
        <f t="shared" si="1"/>
        <v>1</v>
      </c>
      <c r="M14" s="43">
        <f t="shared" si="1"/>
        <v>12366.63</v>
      </c>
      <c r="N14" s="44">
        <f t="shared" si="1"/>
        <v>1.0015000000000001</v>
      </c>
      <c r="O14" s="43">
        <f t="shared" si="1"/>
        <v>12366.63</v>
      </c>
      <c r="P14" s="44">
        <f t="shared" si="1"/>
        <v>1</v>
      </c>
      <c r="Q14" s="43">
        <f t="shared" si="1"/>
        <v>12366.63</v>
      </c>
      <c r="R14" s="45">
        <f t="shared" si="1"/>
        <v>1</v>
      </c>
      <c r="S14" s="43">
        <f t="shared" si="1"/>
        <v>12366.63</v>
      </c>
      <c r="T14" s="45">
        <f t="shared" si="1"/>
        <v>1</v>
      </c>
      <c r="U14" s="43">
        <f t="shared" si="1"/>
        <v>12366.630000000001</v>
      </c>
      <c r="V14" s="45">
        <f t="shared" si="1"/>
        <v>1</v>
      </c>
      <c r="W14" s="43">
        <f t="shared" si="1"/>
        <v>12366.630000000001</v>
      </c>
      <c r="X14" s="44">
        <f t="shared" si="1"/>
        <v>1</v>
      </c>
      <c r="Y14" s="43">
        <f t="shared" si="1"/>
        <v>12366.630000000001</v>
      </c>
      <c r="Z14" s="44">
        <f t="shared" si="1"/>
        <v>1</v>
      </c>
      <c r="AA14" s="43">
        <f t="shared" si="1"/>
        <v>12366.630000000001</v>
      </c>
      <c r="AB14" s="44">
        <f t="shared" si="1"/>
        <v>1</v>
      </c>
      <c r="AC14" s="43">
        <f t="shared" si="1"/>
        <v>12366.630000000001</v>
      </c>
      <c r="AD14" s="44">
        <f t="shared" si="1"/>
        <v>1</v>
      </c>
      <c r="AE14" s="43">
        <f t="shared" si="1"/>
        <v>12366.630000000001</v>
      </c>
      <c r="AF14" s="44">
        <f t="shared" si="1"/>
        <v>1</v>
      </c>
      <c r="AG14" s="43">
        <f t="shared" si="1"/>
        <v>12366.630000000001</v>
      </c>
      <c r="AH14" s="44">
        <f t="shared" si="1"/>
        <v>1</v>
      </c>
      <c r="AI14" s="120">
        <f t="shared" si="1"/>
        <v>148399.56</v>
      </c>
      <c r="AJ14" s="121">
        <f>SUM(AI8:AI13)</f>
        <v>119465.78</v>
      </c>
      <c r="AK14" s="122">
        <f>(AJ14/AI14)</f>
        <v>0.80502785857316561</v>
      </c>
      <c r="AL14" s="5"/>
    </row>
    <row r="15" spans="1:38" ht="15.75" thickBot="1" x14ac:dyDescent="0.3"/>
    <row r="16" spans="1:38" ht="25.5" thickBot="1" x14ac:dyDescent="0.3">
      <c r="A16" s="147" t="s">
        <v>0</v>
      </c>
      <c r="B16" s="148"/>
      <c r="C16" s="148"/>
      <c r="D16" s="148"/>
      <c r="E16" s="148"/>
      <c r="F16" s="148" t="s">
        <v>36</v>
      </c>
      <c r="G16" s="148"/>
      <c r="H16" s="148"/>
      <c r="I16" s="148"/>
      <c r="J16" s="1"/>
      <c r="K16" s="149">
        <v>45108</v>
      </c>
      <c r="L16" s="150"/>
      <c r="M16" s="149">
        <v>45139</v>
      </c>
      <c r="N16" s="150"/>
      <c r="O16" s="149">
        <v>45170</v>
      </c>
      <c r="P16" s="150"/>
      <c r="Q16" s="151">
        <v>45200</v>
      </c>
      <c r="R16" s="150"/>
      <c r="S16" s="149">
        <v>45231</v>
      </c>
      <c r="T16" s="150"/>
      <c r="U16" s="149">
        <v>45261</v>
      </c>
      <c r="V16" s="150"/>
      <c r="W16" s="149">
        <v>45292</v>
      </c>
      <c r="X16" s="150"/>
      <c r="Y16" s="149">
        <v>45323</v>
      </c>
      <c r="Z16" s="150"/>
      <c r="AA16" s="149">
        <v>45352</v>
      </c>
      <c r="AB16" s="150"/>
      <c r="AC16" s="151">
        <v>45383</v>
      </c>
      <c r="AD16" s="150"/>
      <c r="AE16" s="149">
        <v>45413</v>
      </c>
      <c r="AF16" s="150"/>
      <c r="AG16" s="149">
        <v>45444</v>
      </c>
      <c r="AH16" s="150"/>
      <c r="AI16" s="2" t="s">
        <v>1</v>
      </c>
      <c r="AJ16" s="3" t="s">
        <v>2</v>
      </c>
      <c r="AK16" s="4" t="s">
        <v>3</v>
      </c>
      <c r="AL16" s="5"/>
    </row>
    <row r="17" spans="1:39" ht="15.75" thickBot="1" x14ac:dyDescent="0.3">
      <c r="A17" s="6" t="s">
        <v>4</v>
      </c>
      <c r="B17" s="7" t="s">
        <v>5</v>
      </c>
      <c r="C17" s="7" t="s">
        <v>6</v>
      </c>
      <c r="D17" s="7" t="s">
        <v>7</v>
      </c>
      <c r="E17" s="103" t="s">
        <v>8</v>
      </c>
      <c r="F17" s="7" t="s">
        <v>9</v>
      </c>
      <c r="G17" s="7" t="s">
        <v>10</v>
      </c>
      <c r="H17" s="7" t="s">
        <v>11</v>
      </c>
      <c r="I17" s="8" t="s">
        <v>12</v>
      </c>
      <c r="J17" s="9" t="s">
        <v>13</v>
      </c>
      <c r="K17" s="10" t="s">
        <v>14</v>
      </c>
      <c r="L17" s="11" t="s">
        <v>15</v>
      </c>
      <c r="M17" s="10" t="s">
        <v>14</v>
      </c>
      <c r="N17" s="11" t="s">
        <v>15</v>
      </c>
      <c r="O17" s="12" t="s">
        <v>14</v>
      </c>
      <c r="P17" s="11" t="s">
        <v>15</v>
      </c>
      <c r="Q17" s="10" t="s">
        <v>14</v>
      </c>
      <c r="R17" s="11" t="s">
        <v>15</v>
      </c>
      <c r="S17" s="10" t="s">
        <v>14</v>
      </c>
      <c r="T17" s="11" t="s">
        <v>15</v>
      </c>
      <c r="U17" s="10" t="s">
        <v>14</v>
      </c>
      <c r="V17" s="11" t="s">
        <v>15</v>
      </c>
      <c r="W17" s="10" t="s">
        <v>14</v>
      </c>
      <c r="X17" s="11" t="s">
        <v>15</v>
      </c>
      <c r="Y17" s="10" t="s">
        <v>14</v>
      </c>
      <c r="Z17" s="11" t="s">
        <v>15</v>
      </c>
      <c r="AA17" s="10" t="s">
        <v>14</v>
      </c>
      <c r="AB17" s="11" t="s">
        <v>15</v>
      </c>
      <c r="AC17" s="10" t="s">
        <v>14</v>
      </c>
      <c r="AD17" s="11" t="s">
        <v>15</v>
      </c>
      <c r="AE17" s="10" t="s">
        <v>14</v>
      </c>
      <c r="AF17" s="11" t="s">
        <v>15</v>
      </c>
      <c r="AG17" s="10" t="s">
        <v>14</v>
      </c>
      <c r="AH17" s="11" t="s">
        <v>15</v>
      </c>
      <c r="AI17" s="13"/>
      <c r="AJ17" s="14"/>
      <c r="AK17" s="15"/>
      <c r="AL17" s="5"/>
    </row>
    <row r="18" spans="1:39" x14ac:dyDescent="0.25">
      <c r="A18" s="16" t="s">
        <v>16</v>
      </c>
      <c r="B18" s="17" t="s">
        <v>17</v>
      </c>
      <c r="C18" s="17" t="s">
        <v>18</v>
      </c>
      <c r="D18" s="17" t="s">
        <v>19</v>
      </c>
      <c r="E18" s="104" t="s">
        <v>20</v>
      </c>
      <c r="F18" s="17" t="s">
        <v>21</v>
      </c>
      <c r="G18" s="17" t="s">
        <v>22</v>
      </c>
      <c r="H18" s="17" t="s">
        <v>19</v>
      </c>
      <c r="I18" s="17" t="s">
        <v>23</v>
      </c>
      <c r="J18" s="18" t="s">
        <v>24</v>
      </c>
      <c r="K18" s="19">
        <v>2455.27</v>
      </c>
      <c r="L18" s="20">
        <v>0.20399999999999999</v>
      </c>
      <c r="M18" s="19">
        <v>3670.77</v>
      </c>
      <c r="N18" s="20">
        <v>0.31</v>
      </c>
      <c r="O18" s="19">
        <v>3670.77</v>
      </c>
      <c r="P18" s="21">
        <v>0.31</v>
      </c>
      <c r="Q18" s="19">
        <v>3670.77</v>
      </c>
      <c r="R18" s="21">
        <v>0.31</v>
      </c>
      <c r="S18" s="19">
        <v>3670.77</v>
      </c>
      <c r="T18" s="21">
        <v>0.31</v>
      </c>
      <c r="U18" s="19">
        <v>3670.77</v>
      </c>
      <c r="V18" s="21">
        <v>0.31</v>
      </c>
      <c r="W18" s="19">
        <v>3670.77</v>
      </c>
      <c r="X18" s="21">
        <v>0.31</v>
      </c>
      <c r="Y18" s="19">
        <v>3670.77</v>
      </c>
      <c r="Z18" s="21">
        <v>0.31</v>
      </c>
      <c r="AA18" s="19">
        <v>3670.77</v>
      </c>
      <c r="AB18" s="21">
        <v>0.31</v>
      </c>
      <c r="AC18" s="19">
        <v>3670.77</v>
      </c>
      <c r="AD18" s="21">
        <v>0.31</v>
      </c>
      <c r="AE18" s="19">
        <v>3670.77</v>
      </c>
      <c r="AF18" s="21">
        <v>0.31</v>
      </c>
      <c r="AG18" s="19">
        <v>3670.77</v>
      </c>
      <c r="AH18" s="21">
        <v>0.31</v>
      </c>
      <c r="AI18" s="22">
        <f t="shared" ref="AI18:AI25" si="2">SUM(K18,M18,O18,Q18,S18,U18,W18, Y18,AA18,AC18,AE18,AG18)</f>
        <v>42833.739999999991</v>
      </c>
      <c r="AJ18" s="23"/>
      <c r="AK18" s="24"/>
      <c r="AL18" s="5"/>
    </row>
    <row r="19" spans="1:39" x14ac:dyDescent="0.25">
      <c r="A19" s="25">
        <v>510</v>
      </c>
      <c r="B19" s="26">
        <v>20</v>
      </c>
      <c r="C19" s="26">
        <v>5225</v>
      </c>
      <c r="D19" s="27" t="s">
        <v>19</v>
      </c>
      <c r="E19" s="115">
        <v>11298401</v>
      </c>
      <c r="F19" s="26">
        <v>5002</v>
      </c>
      <c r="G19" s="27" t="s">
        <v>22</v>
      </c>
      <c r="H19" s="27" t="s">
        <v>19</v>
      </c>
      <c r="I19" s="26">
        <v>20</v>
      </c>
      <c r="J19" s="28" t="s">
        <v>25</v>
      </c>
      <c r="K19" s="29">
        <v>1200.03</v>
      </c>
      <c r="L19" s="30">
        <v>0.1</v>
      </c>
      <c r="M19" s="29">
        <v>1200.03</v>
      </c>
      <c r="N19" s="30">
        <v>0.1</v>
      </c>
      <c r="O19" s="29">
        <v>1200.03</v>
      </c>
      <c r="P19" s="31">
        <v>0.1</v>
      </c>
      <c r="Q19" s="29">
        <v>1200.03</v>
      </c>
      <c r="R19" s="31">
        <v>0.1</v>
      </c>
      <c r="S19" s="29">
        <v>1200.03</v>
      </c>
      <c r="T19" s="31">
        <v>0.1</v>
      </c>
      <c r="U19" s="29">
        <v>1200.03</v>
      </c>
      <c r="V19" s="31">
        <v>0.1</v>
      </c>
      <c r="W19" s="29">
        <v>1200.03</v>
      </c>
      <c r="X19" s="31">
        <v>0.1</v>
      </c>
      <c r="Y19" s="29">
        <v>1200.03</v>
      </c>
      <c r="Z19" s="31">
        <v>0.1</v>
      </c>
      <c r="AA19" s="29">
        <v>1200.03</v>
      </c>
      <c r="AB19" s="31">
        <v>0.1</v>
      </c>
      <c r="AC19" s="29">
        <v>1200.03</v>
      </c>
      <c r="AD19" s="31">
        <v>0.1</v>
      </c>
      <c r="AE19" s="29">
        <v>1200.03</v>
      </c>
      <c r="AF19" s="31">
        <v>0.1</v>
      </c>
      <c r="AG19" s="29">
        <v>1200.03</v>
      </c>
      <c r="AH19" s="31">
        <v>0.1</v>
      </c>
      <c r="AI19" s="32">
        <f t="shared" si="2"/>
        <v>14400.360000000002</v>
      </c>
      <c r="AJ19" s="23"/>
      <c r="AK19" s="24"/>
      <c r="AL19" s="5"/>
    </row>
    <row r="20" spans="1:39" x14ac:dyDescent="0.25">
      <c r="A20" s="25">
        <v>510</v>
      </c>
      <c r="B20" s="26">
        <v>11</v>
      </c>
      <c r="C20" s="26">
        <v>1110</v>
      </c>
      <c r="D20" s="27" t="s">
        <v>26</v>
      </c>
      <c r="E20" s="115">
        <v>11317900</v>
      </c>
      <c r="F20" s="26">
        <v>5002</v>
      </c>
      <c r="G20" s="27" t="s">
        <v>22</v>
      </c>
      <c r="H20" s="27" t="s">
        <v>19</v>
      </c>
      <c r="I20" s="26">
        <v>20</v>
      </c>
      <c r="J20" s="28" t="s">
        <v>27</v>
      </c>
      <c r="K20" s="29">
        <v>1859.75</v>
      </c>
      <c r="L20" s="30">
        <v>0.155</v>
      </c>
      <c r="M20" s="29">
        <v>1859.75</v>
      </c>
      <c r="N20" s="30">
        <v>0.155</v>
      </c>
      <c r="O20" s="29">
        <v>1859.75</v>
      </c>
      <c r="P20" s="31">
        <v>0.155</v>
      </c>
      <c r="Q20" s="29">
        <v>1859.75</v>
      </c>
      <c r="R20" s="31">
        <v>0.155</v>
      </c>
      <c r="S20" s="29">
        <v>1859.75</v>
      </c>
      <c r="T20" s="31">
        <v>0.155</v>
      </c>
      <c r="U20" s="29">
        <v>1859.75</v>
      </c>
      <c r="V20" s="31">
        <v>0.155</v>
      </c>
      <c r="W20" s="29">
        <v>1859.75</v>
      </c>
      <c r="X20" s="31">
        <v>0.155</v>
      </c>
      <c r="Y20" s="29">
        <v>1859.75</v>
      </c>
      <c r="Z20" s="31">
        <v>0.155</v>
      </c>
      <c r="AA20" s="29">
        <v>1859.75</v>
      </c>
      <c r="AB20" s="31">
        <v>0.155</v>
      </c>
      <c r="AC20" s="29">
        <v>1859.75</v>
      </c>
      <c r="AD20" s="31">
        <v>0.155</v>
      </c>
      <c r="AE20" s="29">
        <v>1859.75</v>
      </c>
      <c r="AF20" s="31">
        <v>0.155</v>
      </c>
      <c r="AG20" s="29">
        <v>1859.75</v>
      </c>
      <c r="AH20" s="31">
        <v>0.155</v>
      </c>
      <c r="AI20" s="32">
        <f t="shared" si="2"/>
        <v>22317</v>
      </c>
      <c r="AJ20" s="23"/>
      <c r="AK20" s="24"/>
      <c r="AL20" s="5"/>
    </row>
    <row r="21" spans="1:39" x14ac:dyDescent="0.25">
      <c r="A21" s="25">
        <v>510</v>
      </c>
      <c r="B21" s="26">
        <v>19</v>
      </c>
      <c r="C21" s="26">
        <v>4105</v>
      </c>
      <c r="D21" s="27" t="s">
        <v>19</v>
      </c>
      <c r="E21" s="115">
        <v>11310300</v>
      </c>
      <c r="F21" s="26">
        <v>5002</v>
      </c>
      <c r="G21" s="27" t="s">
        <v>22</v>
      </c>
      <c r="H21" s="27" t="s">
        <v>19</v>
      </c>
      <c r="I21" s="26">
        <v>20</v>
      </c>
      <c r="J21" s="28" t="s">
        <v>28</v>
      </c>
      <c r="K21" s="29">
        <v>1094.99</v>
      </c>
      <c r="L21" s="30">
        <v>0.09</v>
      </c>
      <c r="M21" s="29">
        <v>1094.99</v>
      </c>
      <c r="N21" s="30">
        <v>0.09</v>
      </c>
      <c r="O21" s="29">
        <v>1094.99</v>
      </c>
      <c r="P21" s="31">
        <v>0.09</v>
      </c>
      <c r="Q21" s="29">
        <v>1094.99</v>
      </c>
      <c r="R21" s="31">
        <v>0.09</v>
      </c>
      <c r="S21" s="29">
        <v>1094.99</v>
      </c>
      <c r="T21" s="31">
        <v>0.09</v>
      </c>
      <c r="U21" s="29">
        <v>1094.99</v>
      </c>
      <c r="V21" s="31">
        <v>0.09</v>
      </c>
      <c r="W21" s="29">
        <v>1094.99</v>
      </c>
      <c r="X21" s="31">
        <v>0.09</v>
      </c>
      <c r="Y21" s="29">
        <v>1094.99</v>
      </c>
      <c r="Z21" s="31">
        <v>0.09</v>
      </c>
      <c r="AA21" s="29">
        <v>1094.99</v>
      </c>
      <c r="AB21" s="31">
        <v>0.09</v>
      </c>
      <c r="AC21" s="29">
        <v>1094.99</v>
      </c>
      <c r="AD21" s="31">
        <v>0.09</v>
      </c>
      <c r="AE21" s="29">
        <v>1094.99</v>
      </c>
      <c r="AF21" s="31">
        <v>0.09</v>
      </c>
      <c r="AG21" s="29">
        <v>1094.99</v>
      </c>
      <c r="AH21" s="31">
        <v>0.09</v>
      </c>
      <c r="AI21" s="32">
        <f t="shared" si="2"/>
        <v>13139.88</v>
      </c>
      <c r="AJ21" s="23"/>
      <c r="AK21" s="24"/>
      <c r="AL21" s="5"/>
    </row>
    <row r="22" spans="1:39" x14ac:dyDescent="0.25">
      <c r="A22" s="25">
        <v>510</v>
      </c>
      <c r="B22" s="26">
        <v>20</v>
      </c>
      <c r="C22" s="26">
        <v>5220</v>
      </c>
      <c r="D22" s="27" t="s">
        <v>19</v>
      </c>
      <c r="E22" s="115">
        <v>11328900</v>
      </c>
      <c r="F22" s="26">
        <v>5002</v>
      </c>
      <c r="G22" s="27" t="s">
        <v>22</v>
      </c>
      <c r="H22" s="27" t="s">
        <v>19</v>
      </c>
      <c r="I22" s="26">
        <v>20</v>
      </c>
      <c r="J22" s="28" t="s">
        <v>29</v>
      </c>
      <c r="K22" s="29">
        <v>391.67</v>
      </c>
      <c r="L22" s="30">
        <v>0.03</v>
      </c>
      <c r="M22" s="29">
        <v>391.67</v>
      </c>
      <c r="N22" s="30">
        <v>0.03</v>
      </c>
      <c r="O22" s="29">
        <v>391.67</v>
      </c>
      <c r="P22" s="31">
        <v>0.03</v>
      </c>
      <c r="Q22" s="29">
        <v>391.67</v>
      </c>
      <c r="R22" s="31">
        <v>0.03</v>
      </c>
      <c r="S22" s="29">
        <v>391.67</v>
      </c>
      <c r="T22" s="31">
        <v>0.03</v>
      </c>
      <c r="U22" s="29">
        <v>391.67</v>
      </c>
      <c r="V22" s="31">
        <v>0.03</v>
      </c>
      <c r="W22" s="29">
        <v>391.67</v>
      </c>
      <c r="X22" s="31">
        <v>0.03</v>
      </c>
      <c r="Y22" s="29">
        <v>391.67</v>
      </c>
      <c r="Z22" s="31">
        <v>0.03</v>
      </c>
      <c r="AA22" s="29">
        <v>391.67</v>
      </c>
      <c r="AB22" s="31">
        <v>0.03</v>
      </c>
      <c r="AC22" s="29">
        <v>391.67</v>
      </c>
      <c r="AD22" s="31">
        <v>0.03</v>
      </c>
      <c r="AE22" s="29">
        <v>391.67</v>
      </c>
      <c r="AF22" s="31">
        <v>0.03</v>
      </c>
      <c r="AG22" s="29">
        <v>391.67</v>
      </c>
      <c r="AH22" s="31">
        <v>0.03</v>
      </c>
      <c r="AI22" s="32">
        <f t="shared" si="2"/>
        <v>4700.04</v>
      </c>
      <c r="AJ22" s="23"/>
      <c r="AK22" s="24"/>
      <c r="AL22" s="5"/>
      <c r="AM22" s="46"/>
    </row>
    <row r="23" spans="1:39" x14ac:dyDescent="0.25">
      <c r="A23" s="25">
        <v>510</v>
      </c>
      <c r="B23" s="26">
        <v>20</v>
      </c>
      <c r="C23" s="26">
        <v>5220</v>
      </c>
      <c r="D23" s="27" t="s">
        <v>19</v>
      </c>
      <c r="E23" s="115">
        <v>11320500</v>
      </c>
      <c r="F23" s="26">
        <v>5002</v>
      </c>
      <c r="G23" s="27" t="s">
        <v>22</v>
      </c>
      <c r="H23" s="27" t="s">
        <v>19</v>
      </c>
      <c r="I23" s="26">
        <v>20</v>
      </c>
      <c r="J23" s="28" t="s">
        <v>30</v>
      </c>
      <c r="K23" s="29">
        <v>1903.8</v>
      </c>
      <c r="L23" s="30">
        <v>0.16</v>
      </c>
      <c r="M23" s="29">
        <v>1903.8</v>
      </c>
      <c r="N23" s="30">
        <v>0.16</v>
      </c>
      <c r="O23" s="29">
        <v>1903.8</v>
      </c>
      <c r="P23" s="31">
        <v>0.16</v>
      </c>
      <c r="Q23" s="29">
        <v>1903.8</v>
      </c>
      <c r="R23" s="31">
        <v>0.16</v>
      </c>
      <c r="S23" s="29">
        <v>1903.8</v>
      </c>
      <c r="T23" s="31">
        <v>0.16</v>
      </c>
      <c r="U23" s="29">
        <v>1903.8</v>
      </c>
      <c r="V23" s="31">
        <v>0.16</v>
      </c>
      <c r="W23" s="29">
        <v>1903.8</v>
      </c>
      <c r="X23" s="31">
        <v>0.16</v>
      </c>
      <c r="Y23" s="29">
        <v>1903.8</v>
      </c>
      <c r="Z23" s="31">
        <v>0.16</v>
      </c>
      <c r="AA23" s="29">
        <v>1903.8</v>
      </c>
      <c r="AB23" s="31">
        <v>0.16</v>
      </c>
      <c r="AC23" s="29">
        <v>1903.8</v>
      </c>
      <c r="AD23" s="31">
        <v>0.16</v>
      </c>
      <c r="AE23" s="29">
        <v>1903.8</v>
      </c>
      <c r="AF23" s="31">
        <v>0.16</v>
      </c>
      <c r="AG23" s="29">
        <v>1903.8</v>
      </c>
      <c r="AH23" s="31">
        <v>0.16</v>
      </c>
      <c r="AI23" s="32">
        <f t="shared" si="2"/>
        <v>22845.599999999995</v>
      </c>
      <c r="AJ23" s="23"/>
      <c r="AK23" s="24"/>
      <c r="AL23" s="5"/>
    </row>
    <row r="24" spans="1:39" x14ac:dyDescent="0.25">
      <c r="A24" s="25">
        <v>510</v>
      </c>
      <c r="B24" s="26">
        <v>20</v>
      </c>
      <c r="C24" s="26">
        <v>5240</v>
      </c>
      <c r="D24" s="27" t="s">
        <v>19</v>
      </c>
      <c r="E24" s="115">
        <v>11320502</v>
      </c>
      <c r="F24" s="26">
        <v>5002</v>
      </c>
      <c r="G24" s="27" t="s">
        <v>22</v>
      </c>
      <c r="H24" s="27" t="s">
        <v>19</v>
      </c>
      <c r="I24" s="26">
        <v>20</v>
      </c>
      <c r="J24" s="28" t="s">
        <v>33</v>
      </c>
      <c r="K24" s="29">
        <v>1215.5</v>
      </c>
      <c r="L24" s="30">
        <v>0.1</v>
      </c>
      <c r="M24" s="29"/>
      <c r="N24" s="30"/>
      <c r="O24" s="29"/>
      <c r="P24" s="31"/>
      <c r="Q24" s="29"/>
      <c r="R24" s="31"/>
      <c r="S24" s="29"/>
      <c r="T24" s="31"/>
      <c r="U24" s="29"/>
      <c r="V24" s="31"/>
      <c r="W24" s="29"/>
      <c r="X24" s="31"/>
      <c r="Y24" s="29"/>
      <c r="Z24" s="31"/>
      <c r="AA24" s="29"/>
      <c r="AB24" s="31"/>
      <c r="AC24" s="29"/>
      <c r="AD24" s="31"/>
      <c r="AE24" s="29"/>
      <c r="AF24" s="31"/>
      <c r="AG24" s="29"/>
      <c r="AH24" s="31"/>
      <c r="AI24" s="32">
        <f t="shared" si="2"/>
        <v>1215.5</v>
      </c>
      <c r="AJ24" s="23"/>
      <c r="AK24" s="24"/>
      <c r="AL24" s="5"/>
    </row>
    <row r="25" spans="1:39" ht="15.75" thickBot="1" x14ac:dyDescent="0.3">
      <c r="A25" s="33">
        <v>510</v>
      </c>
      <c r="B25" s="34">
        <v>20</v>
      </c>
      <c r="C25" s="34">
        <v>5220</v>
      </c>
      <c r="D25" s="35" t="s">
        <v>19</v>
      </c>
      <c r="E25" s="116">
        <v>12404400</v>
      </c>
      <c r="F25" s="34">
        <v>5002</v>
      </c>
      <c r="G25" s="35" t="s">
        <v>22</v>
      </c>
      <c r="H25" s="35" t="s">
        <v>19</v>
      </c>
      <c r="I25" s="34">
        <v>20</v>
      </c>
      <c r="J25" s="36" t="s">
        <v>34</v>
      </c>
      <c r="K25" s="39">
        <v>1879.67</v>
      </c>
      <c r="L25" s="40">
        <v>0.156</v>
      </c>
      <c r="M25" s="39">
        <v>1879.67</v>
      </c>
      <c r="N25" s="40">
        <v>0.156</v>
      </c>
      <c r="O25" s="39">
        <v>1879.67</v>
      </c>
      <c r="P25" s="38">
        <v>0.156</v>
      </c>
      <c r="Q25" s="39">
        <v>1879.67</v>
      </c>
      <c r="R25" s="38">
        <v>0.156</v>
      </c>
      <c r="S25" s="39">
        <v>1879.67</v>
      </c>
      <c r="T25" s="38">
        <v>0.156</v>
      </c>
      <c r="U25" s="39">
        <v>1879.67</v>
      </c>
      <c r="V25" s="38">
        <v>0.156</v>
      </c>
      <c r="W25" s="39">
        <v>1879.67</v>
      </c>
      <c r="X25" s="38">
        <v>0.156</v>
      </c>
      <c r="Y25" s="39">
        <v>1879.67</v>
      </c>
      <c r="Z25" s="38">
        <v>0.156</v>
      </c>
      <c r="AA25" s="39">
        <v>1879.67</v>
      </c>
      <c r="AB25" s="38">
        <v>0.156</v>
      </c>
      <c r="AC25" s="39">
        <v>1879.67</v>
      </c>
      <c r="AD25" s="38">
        <v>0.156</v>
      </c>
      <c r="AE25" s="39">
        <v>1879.67</v>
      </c>
      <c r="AF25" s="38">
        <v>0.156</v>
      </c>
      <c r="AG25" s="39">
        <v>1879.67</v>
      </c>
      <c r="AH25" s="38">
        <v>0.156</v>
      </c>
      <c r="AI25" s="41">
        <f t="shared" si="2"/>
        <v>22556.039999999994</v>
      </c>
      <c r="AJ25" s="23"/>
      <c r="AK25" s="24"/>
      <c r="AL25" s="5"/>
    </row>
    <row r="26" spans="1:39" ht="15.75" thickBot="1" x14ac:dyDescent="0.3">
      <c r="A26" s="26"/>
      <c r="B26" s="26"/>
      <c r="C26" s="26"/>
      <c r="D26" s="26"/>
      <c r="E26" s="105"/>
      <c r="F26" s="26"/>
      <c r="G26" s="26"/>
      <c r="H26" s="26"/>
      <c r="I26" s="26"/>
      <c r="J26" s="42"/>
      <c r="K26" s="43">
        <f t="shared" ref="K26:AI26" si="3">SUM(K18:K25)</f>
        <v>12000.68</v>
      </c>
      <c r="L26" s="44">
        <f t="shared" si="3"/>
        <v>0.995</v>
      </c>
      <c r="M26" s="43">
        <f t="shared" si="3"/>
        <v>12000.679999999998</v>
      </c>
      <c r="N26" s="44">
        <f t="shared" si="3"/>
        <v>1.0010000000000001</v>
      </c>
      <c r="O26" s="43">
        <f t="shared" si="3"/>
        <v>12000.679999999998</v>
      </c>
      <c r="P26" s="44">
        <f t="shared" si="3"/>
        <v>1.0010000000000001</v>
      </c>
      <c r="Q26" s="43">
        <f t="shared" si="3"/>
        <v>12000.679999999998</v>
      </c>
      <c r="R26" s="45">
        <f t="shared" si="3"/>
        <v>1.0010000000000001</v>
      </c>
      <c r="S26" s="43">
        <f t="shared" si="3"/>
        <v>12000.679999999998</v>
      </c>
      <c r="T26" s="45">
        <f t="shared" si="3"/>
        <v>1.0010000000000001</v>
      </c>
      <c r="U26" s="43">
        <f t="shared" si="3"/>
        <v>12000.679999999998</v>
      </c>
      <c r="V26" s="45">
        <f t="shared" si="3"/>
        <v>1.0010000000000001</v>
      </c>
      <c r="W26" s="43">
        <f t="shared" si="3"/>
        <v>12000.679999999998</v>
      </c>
      <c r="X26" s="44">
        <f t="shared" si="3"/>
        <v>1.0010000000000001</v>
      </c>
      <c r="Y26" s="43">
        <f t="shared" si="3"/>
        <v>12000.679999999998</v>
      </c>
      <c r="Z26" s="44">
        <f t="shared" si="3"/>
        <v>1.0010000000000001</v>
      </c>
      <c r="AA26" s="43">
        <f t="shared" si="3"/>
        <v>12000.679999999998</v>
      </c>
      <c r="AB26" s="44">
        <f t="shared" si="3"/>
        <v>1.0010000000000001</v>
      </c>
      <c r="AC26" s="43">
        <f t="shared" si="3"/>
        <v>12000.679999999998</v>
      </c>
      <c r="AD26" s="44">
        <f t="shared" si="3"/>
        <v>1.0010000000000001</v>
      </c>
      <c r="AE26" s="43">
        <f t="shared" si="3"/>
        <v>12000.679999999998</v>
      </c>
      <c r="AF26" s="44">
        <f t="shared" si="3"/>
        <v>1.0010000000000001</v>
      </c>
      <c r="AG26" s="43">
        <f t="shared" si="3"/>
        <v>12000.679999999998</v>
      </c>
      <c r="AH26" s="44">
        <f t="shared" si="3"/>
        <v>1.0010000000000001</v>
      </c>
      <c r="AI26" s="120">
        <f t="shared" si="3"/>
        <v>144008.15999999997</v>
      </c>
      <c r="AJ26" s="121">
        <f>SUM(AI19:AI25)</f>
        <v>101174.41999999998</v>
      </c>
      <c r="AK26" s="122">
        <f>(AJ26/AI26)</f>
        <v>0.70256032713701777</v>
      </c>
      <c r="AL26" s="5"/>
    </row>
    <row r="27" spans="1:39" ht="15.75" thickBot="1" x14ac:dyDescent="0.3"/>
    <row r="28" spans="1:39" ht="25.5" thickBot="1" x14ac:dyDescent="0.3">
      <c r="A28" s="147" t="s">
        <v>0</v>
      </c>
      <c r="B28" s="148"/>
      <c r="C28" s="148"/>
      <c r="D28" s="148"/>
      <c r="E28" s="148"/>
      <c r="F28" s="148" t="s">
        <v>39</v>
      </c>
      <c r="G28" s="148"/>
      <c r="H28" s="148"/>
      <c r="I28" s="148"/>
      <c r="J28" s="1"/>
      <c r="K28" s="151">
        <v>44743</v>
      </c>
      <c r="L28" s="150"/>
      <c r="M28" s="149">
        <v>44774</v>
      </c>
      <c r="N28" s="150"/>
      <c r="O28" s="149">
        <v>44805</v>
      </c>
      <c r="P28" s="150"/>
      <c r="Q28" s="149">
        <v>44835</v>
      </c>
      <c r="R28" s="150"/>
      <c r="S28" s="149">
        <v>44866</v>
      </c>
      <c r="T28" s="150"/>
      <c r="U28" s="149">
        <v>44896</v>
      </c>
      <c r="V28" s="150"/>
      <c r="W28" s="149">
        <v>44927</v>
      </c>
      <c r="X28" s="150"/>
      <c r="Y28" s="149">
        <v>44958</v>
      </c>
      <c r="Z28" s="150"/>
      <c r="AA28" s="149">
        <v>44986</v>
      </c>
      <c r="AB28" s="150"/>
      <c r="AC28" s="149">
        <v>45017</v>
      </c>
      <c r="AD28" s="150"/>
      <c r="AE28" s="149">
        <v>45047</v>
      </c>
      <c r="AF28" s="150"/>
      <c r="AG28" s="149">
        <v>45078</v>
      </c>
      <c r="AH28" s="150"/>
      <c r="AI28" s="2" t="s">
        <v>1</v>
      </c>
      <c r="AJ28" s="3" t="s">
        <v>2</v>
      </c>
      <c r="AK28" s="4" t="s">
        <v>3</v>
      </c>
    </row>
    <row r="29" spans="1:39" ht="15.75" thickBot="1" x14ac:dyDescent="0.3">
      <c r="A29" s="6" t="s">
        <v>4</v>
      </c>
      <c r="B29" s="7" t="s">
        <v>5</v>
      </c>
      <c r="C29" s="7" t="s">
        <v>6</v>
      </c>
      <c r="D29" s="7" t="s">
        <v>7</v>
      </c>
      <c r="E29" s="103" t="s">
        <v>8</v>
      </c>
      <c r="F29" s="7" t="s">
        <v>9</v>
      </c>
      <c r="G29" s="7" t="s">
        <v>10</v>
      </c>
      <c r="H29" s="7" t="s">
        <v>11</v>
      </c>
      <c r="I29" s="8" t="s">
        <v>12</v>
      </c>
      <c r="J29" s="47" t="s">
        <v>13</v>
      </c>
      <c r="K29" s="48" t="s">
        <v>14</v>
      </c>
      <c r="L29" s="49" t="s">
        <v>15</v>
      </c>
      <c r="M29" s="48" t="s">
        <v>14</v>
      </c>
      <c r="N29" s="49" t="s">
        <v>15</v>
      </c>
      <c r="O29" s="50" t="s">
        <v>14</v>
      </c>
      <c r="P29" s="49" t="s">
        <v>15</v>
      </c>
      <c r="Q29" s="48" t="s">
        <v>14</v>
      </c>
      <c r="R29" s="49" t="s">
        <v>15</v>
      </c>
      <c r="S29" s="48" t="s">
        <v>14</v>
      </c>
      <c r="T29" s="49" t="s">
        <v>15</v>
      </c>
      <c r="U29" s="48" t="s">
        <v>14</v>
      </c>
      <c r="V29" s="49" t="s">
        <v>15</v>
      </c>
      <c r="W29" s="48" t="s">
        <v>14</v>
      </c>
      <c r="X29" s="49" t="s">
        <v>15</v>
      </c>
      <c r="Y29" s="48" t="s">
        <v>14</v>
      </c>
      <c r="Z29" s="49" t="s">
        <v>15</v>
      </c>
      <c r="AA29" s="48" t="s">
        <v>14</v>
      </c>
      <c r="AB29" s="49" t="s">
        <v>15</v>
      </c>
      <c r="AC29" s="48" t="s">
        <v>14</v>
      </c>
      <c r="AD29" s="49" t="s">
        <v>15</v>
      </c>
      <c r="AE29" s="48" t="s">
        <v>14</v>
      </c>
      <c r="AF29" s="49" t="s">
        <v>15</v>
      </c>
      <c r="AG29" s="48" t="s">
        <v>14</v>
      </c>
      <c r="AH29" s="49" t="s">
        <v>15</v>
      </c>
      <c r="AI29" s="13"/>
      <c r="AJ29" s="14"/>
      <c r="AK29" s="15"/>
    </row>
    <row r="30" spans="1:39" x14ac:dyDescent="0.25">
      <c r="A30" s="51" t="s">
        <v>16</v>
      </c>
      <c r="B30" s="52" t="s">
        <v>17</v>
      </c>
      <c r="C30" s="52" t="s">
        <v>18</v>
      </c>
      <c r="D30" s="52" t="s">
        <v>19</v>
      </c>
      <c r="E30" s="107" t="s">
        <v>20</v>
      </c>
      <c r="F30" s="52" t="s">
        <v>21</v>
      </c>
      <c r="G30" s="52" t="s">
        <v>22</v>
      </c>
      <c r="H30" s="52" t="s">
        <v>19</v>
      </c>
      <c r="I30" s="52" t="s">
        <v>23</v>
      </c>
      <c r="J30" s="53" t="s">
        <v>24</v>
      </c>
      <c r="K30" s="54">
        <v>4763.3900000000003</v>
      </c>
      <c r="L30" s="55">
        <v>0.43</v>
      </c>
      <c r="M30" s="54">
        <v>4627.8</v>
      </c>
      <c r="N30" s="55">
        <v>0.42</v>
      </c>
      <c r="O30" s="54">
        <v>4627.8</v>
      </c>
      <c r="P30" s="55">
        <v>0.42</v>
      </c>
      <c r="Q30" s="54">
        <v>4627.8</v>
      </c>
      <c r="R30" s="55">
        <v>0.42</v>
      </c>
      <c r="S30" s="54">
        <v>3412.3</v>
      </c>
      <c r="T30" s="55">
        <v>0.31</v>
      </c>
      <c r="U30" s="54">
        <v>3412.3</v>
      </c>
      <c r="V30" s="55">
        <v>0.31</v>
      </c>
      <c r="W30" s="54">
        <v>3412.3</v>
      </c>
      <c r="X30" s="55">
        <v>0.31</v>
      </c>
      <c r="Y30" s="54">
        <v>3412.3</v>
      </c>
      <c r="Z30" s="55">
        <v>0.31</v>
      </c>
      <c r="AA30" s="54">
        <v>3412.3</v>
      </c>
      <c r="AB30" s="55">
        <v>0.31</v>
      </c>
      <c r="AC30" s="54">
        <v>3412.3</v>
      </c>
      <c r="AD30" s="55">
        <v>0.31</v>
      </c>
      <c r="AE30" s="54">
        <v>3412.3</v>
      </c>
      <c r="AF30" s="55">
        <v>0.31</v>
      </c>
      <c r="AG30" s="54">
        <v>3412.3</v>
      </c>
      <c r="AH30" s="55">
        <v>0.31</v>
      </c>
      <c r="AI30" s="56">
        <f t="shared" ref="AI30:AI37" si="4">SUM(K30,M30,O30,Q30,S30,U30,W30, Y30,AA30,AC30,AE30,AG30)</f>
        <v>45945.19000000001</v>
      </c>
      <c r="AJ30" s="23"/>
      <c r="AK30" s="24"/>
    </row>
    <row r="31" spans="1:39" x14ac:dyDescent="0.25">
      <c r="A31" s="57">
        <v>510</v>
      </c>
      <c r="B31" s="58">
        <v>20</v>
      </c>
      <c r="C31" s="58">
        <v>5225</v>
      </c>
      <c r="D31" s="59" t="s">
        <v>19</v>
      </c>
      <c r="E31" s="108">
        <v>11298401</v>
      </c>
      <c r="F31" s="58">
        <v>5002</v>
      </c>
      <c r="G31" s="59" t="s">
        <v>22</v>
      </c>
      <c r="H31" s="59" t="s">
        <v>19</v>
      </c>
      <c r="I31" s="58">
        <v>20</v>
      </c>
      <c r="J31" s="60" t="s">
        <v>25</v>
      </c>
      <c r="K31" s="61">
        <v>1105</v>
      </c>
      <c r="L31" s="62">
        <v>0.1</v>
      </c>
      <c r="M31" s="61">
        <v>1105</v>
      </c>
      <c r="N31" s="62">
        <v>0.1</v>
      </c>
      <c r="O31" s="61">
        <v>1105</v>
      </c>
      <c r="P31" s="62">
        <v>0.1</v>
      </c>
      <c r="Q31" s="61">
        <v>1105</v>
      </c>
      <c r="R31" s="62">
        <v>0.1</v>
      </c>
      <c r="S31" s="61">
        <v>1105</v>
      </c>
      <c r="T31" s="62">
        <v>0.1</v>
      </c>
      <c r="U31" s="61">
        <v>1105</v>
      </c>
      <c r="V31" s="62">
        <v>0.1</v>
      </c>
      <c r="W31" s="61">
        <v>1105</v>
      </c>
      <c r="X31" s="62">
        <v>0.1</v>
      </c>
      <c r="Y31" s="61">
        <v>1105</v>
      </c>
      <c r="Z31" s="62">
        <v>0.1</v>
      </c>
      <c r="AA31" s="61">
        <v>1105</v>
      </c>
      <c r="AB31" s="62">
        <v>0.1</v>
      </c>
      <c r="AC31" s="61">
        <v>1105</v>
      </c>
      <c r="AD31" s="62">
        <v>0.1</v>
      </c>
      <c r="AE31" s="61">
        <v>1105</v>
      </c>
      <c r="AF31" s="62">
        <v>0.1</v>
      </c>
      <c r="AG31" s="61">
        <v>1105</v>
      </c>
      <c r="AH31" s="62">
        <v>0.1</v>
      </c>
      <c r="AI31" s="63">
        <f t="shared" si="4"/>
        <v>13260</v>
      </c>
      <c r="AJ31" s="23"/>
      <c r="AK31" s="24"/>
    </row>
    <row r="32" spans="1:39" x14ac:dyDescent="0.25">
      <c r="A32" s="64">
        <v>510</v>
      </c>
      <c r="B32" s="65">
        <v>11</v>
      </c>
      <c r="C32" s="65">
        <v>1110</v>
      </c>
      <c r="D32" s="66" t="s">
        <v>26</v>
      </c>
      <c r="E32" s="65">
        <v>11317903</v>
      </c>
      <c r="F32" s="65">
        <v>5002</v>
      </c>
      <c r="G32" s="66" t="s">
        <v>22</v>
      </c>
      <c r="H32" s="66" t="s">
        <v>19</v>
      </c>
      <c r="I32" s="65">
        <v>20</v>
      </c>
      <c r="J32" s="67" t="s">
        <v>27</v>
      </c>
      <c r="K32" s="68">
        <v>1673.83</v>
      </c>
      <c r="L32" s="69">
        <v>0.15</v>
      </c>
      <c r="M32" s="70">
        <v>1859.75</v>
      </c>
      <c r="N32" s="69">
        <v>0.17</v>
      </c>
      <c r="O32" s="68">
        <v>1859.75</v>
      </c>
      <c r="P32" s="69">
        <v>0.17</v>
      </c>
      <c r="Q32" s="68">
        <v>1859.75</v>
      </c>
      <c r="R32" s="69">
        <v>0.17</v>
      </c>
      <c r="S32" s="68">
        <v>1859.75</v>
      </c>
      <c r="T32" s="69">
        <v>0.17</v>
      </c>
      <c r="U32" s="68">
        <v>1859.75</v>
      </c>
      <c r="V32" s="69">
        <v>0.17</v>
      </c>
      <c r="W32" s="68">
        <v>1859.75</v>
      </c>
      <c r="X32" s="69">
        <v>0.17</v>
      </c>
      <c r="Y32" s="68">
        <v>1859.75</v>
      </c>
      <c r="Z32" s="69">
        <v>0.17</v>
      </c>
      <c r="AA32" s="68">
        <v>1859.75</v>
      </c>
      <c r="AB32" s="69">
        <v>0.17</v>
      </c>
      <c r="AC32" s="68">
        <v>1859.75</v>
      </c>
      <c r="AD32" s="69">
        <v>0.17</v>
      </c>
      <c r="AE32" s="68">
        <v>1859.75</v>
      </c>
      <c r="AF32" s="69">
        <v>0.17</v>
      </c>
      <c r="AG32" s="68">
        <v>1859.75</v>
      </c>
      <c r="AH32" s="69">
        <v>0.17</v>
      </c>
      <c r="AI32" s="63">
        <f t="shared" si="4"/>
        <v>22131.08</v>
      </c>
      <c r="AJ32" s="23"/>
      <c r="AK32" s="24"/>
      <c r="AM32" s="46"/>
    </row>
    <row r="33" spans="1:37" x14ac:dyDescent="0.25">
      <c r="A33" s="64">
        <v>510</v>
      </c>
      <c r="B33" s="65">
        <v>19</v>
      </c>
      <c r="C33" s="65">
        <v>4105</v>
      </c>
      <c r="D33" s="66" t="s">
        <v>19</v>
      </c>
      <c r="E33" s="65">
        <v>11310300</v>
      </c>
      <c r="F33" s="65">
        <v>5002</v>
      </c>
      <c r="G33" s="66" t="s">
        <v>22</v>
      </c>
      <c r="H33" s="66" t="s">
        <v>19</v>
      </c>
      <c r="I33" s="65">
        <v>20</v>
      </c>
      <c r="J33" s="67" t="s">
        <v>28</v>
      </c>
      <c r="K33" s="68">
        <v>1008.28</v>
      </c>
      <c r="L33" s="69">
        <v>0.09</v>
      </c>
      <c r="M33" s="68">
        <v>1008.28</v>
      </c>
      <c r="N33" s="69">
        <v>0.09</v>
      </c>
      <c r="O33" s="68">
        <v>1008.28</v>
      </c>
      <c r="P33" s="69">
        <v>0.09</v>
      </c>
      <c r="Q33" s="68">
        <v>1008.28</v>
      </c>
      <c r="R33" s="69">
        <v>0.09</v>
      </c>
      <c r="S33" s="68">
        <v>1008.28</v>
      </c>
      <c r="T33" s="69">
        <v>0.09</v>
      </c>
      <c r="U33" s="68">
        <v>1008.28</v>
      </c>
      <c r="V33" s="69">
        <v>0.09</v>
      </c>
      <c r="W33" s="68">
        <v>1008.28</v>
      </c>
      <c r="X33" s="69">
        <v>0.09</v>
      </c>
      <c r="Y33" s="68">
        <v>1008.28</v>
      </c>
      <c r="Z33" s="69">
        <v>0.09</v>
      </c>
      <c r="AA33" s="68">
        <v>1008.28</v>
      </c>
      <c r="AB33" s="69">
        <v>0.09</v>
      </c>
      <c r="AC33" s="68">
        <v>1008.28</v>
      </c>
      <c r="AD33" s="69">
        <v>0.09</v>
      </c>
      <c r="AE33" s="68">
        <v>1008.28</v>
      </c>
      <c r="AF33" s="69">
        <v>0.09</v>
      </c>
      <c r="AG33" s="68">
        <v>1008.28</v>
      </c>
      <c r="AH33" s="69">
        <v>0.09</v>
      </c>
      <c r="AI33" s="63">
        <f t="shared" si="4"/>
        <v>12099.36</v>
      </c>
      <c r="AJ33" s="23"/>
      <c r="AK33" s="24"/>
    </row>
    <row r="34" spans="1:37" x14ac:dyDescent="0.25">
      <c r="A34" s="64">
        <v>510</v>
      </c>
      <c r="B34" s="65">
        <v>20</v>
      </c>
      <c r="C34" s="65">
        <v>5220</v>
      </c>
      <c r="D34" s="66" t="s">
        <v>19</v>
      </c>
      <c r="E34" s="65">
        <v>11328900</v>
      </c>
      <c r="F34" s="65">
        <v>5002</v>
      </c>
      <c r="G34" s="66" t="s">
        <v>22</v>
      </c>
      <c r="H34" s="66" t="s">
        <v>19</v>
      </c>
      <c r="I34" s="65">
        <v>20</v>
      </c>
      <c r="J34" s="67" t="s">
        <v>29</v>
      </c>
      <c r="K34" s="68">
        <v>442</v>
      </c>
      <c r="L34" s="69">
        <v>0.04</v>
      </c>
      <c r="M34" s="68">
        <v>391.67</v>
      </c>
      <c r="N34" s="69">
        <v>0.04</v>
      </c>
      <c r="O34" s="68">
        <v>391.67</v>
      </c>
      <c r="P34" s="69">
        <v>0.04</v>
      </c>
      <c r="Q34" s="68">
        <v>391.67</v>
      </c>
      <c r="R34" s="69">
        <v>0.04</v>
      </c>
      <c r="S34" s="68">
        <v>391.67</v>
      </c>
      <c r="T34" s="69">
        <v>0.04</v>
      </c>
      <c r="U34" s="68">
        <v>391.67</v>
      </c>
      <c r="V34" s="69">
        <v>0.04</v>
      </c>
      <c r="W34" s="68">
        <v>391.67</v>
      </c>
      <c r="X34" s="69">
        <v>0.04</v>
      </c>
      <c r="Y34" s="68">
        <v>391.67</v>
      </c>
      <c r="Z34" s="69">
        <v>0.04</v>
      </c>
      <c r="AA34" s="68">
        <v>391.67</v>
      </c>
      <c r="AB34" s="69">
        <v>0.04</v>
      </c>
      <c r="AC34" s="68">
        <v>391.67</v>
      </c>
      <c r="AD34" s="69">
        <v>0.04</v>
      </c>
      <c r="AE34" s="68">
        <v>391.67</v>
      </c>
      <c r="AF34" s="69">
        <v>0.04</v>
      </c>
      <c r="AG34" s="68">
        <v>391.67</v>
      </c>
      <c r="AH34" s="69">
        <v>0.04</v>
      </c>
      <c r="AI34" s="63">
        <f t="shared" si="4"/>
        <v>4750.3700000000008</v>
      </c>
      <c r="AJ34" s="23"/>
      <c r="AK34" s="24"/>
    </row>
    <row r="35" spans="1:37" x14ac:dyDescent="0.25">
      <c r="A35" s="64">
        <v>510</v>
      </c>
      <c r="B35" s="65">
        <v>20</v>
      </c>
      <c r="C35" s="65">
        <v>5220</v>
      </c>
      <c r="D35" s="66" t="s">
        <v>19</v>
      </c>
      <c r="E35" s="65">
        <v>11320500</v>
      </c>
      <c r="F35" s="65">
        <v>5002</v>
      </c>
      <c r="G35" s="66" t="s">
        <v>22</v>
      </c>
      <c r="H35" s="66" t="s">
        <v>19</v>
      </c>
      <c r="I35" s="65">
        <v>20</v>
      </c>
      <c r="J35" s="67" t="s">
        <v>37</v>
      </c>
      <c r="K35" s="68">
        <v>919.33</v>
      </c>
      <c r="L35" s="69">
        <v>8.3000000000000004E-2</v>
      </c>
      <c r="M35" s="68">
        <v>919.33</v>
      </c>
      <c r="N35" s="69">
        <v>8.3000000000000004E-2</v>
      </c>
      <c r="O35" s="68">
        <v>919.33</v>
      </c>
      <c r="P35" s="69">
        <v>8.3000000000000004E-2</v>
      </c>
      <c r="Q35" s="68">
        <v>919.33</v>
      </c>
      <c r="R35" s="69">
        <v>8.3000000000000004E-2</v>
      </c>
      <c r="S35" s="68">
        <v>919.33</v>
      </c>
      <c r="T35" s="69">
        <v>8.3000000000000004E-2</v>
      </c>
      <c r="U35" s="68">
        <v>919.33</v>
      </c>
      <c r="V35" s="69">
        <v>8.3000000000000004E-2</v>
      </c>
      <c r="W35" s="68">
        <v>919.33</v>
      </c>
      <c r="X35" s="69">
        <v>8.3000000000000004E-2</v>
      </c>
      <c r="Y35" s="68">
        <v>919.33</v>
      </c>
      <c r="Z35" s="69">
        <v>8.3000000000000004E-2</v>
      </c>
      <c r="AA35" s="68">
        <v>919.33</v>
      </c>
      <c r="AB35" s="69">
        <v>8.3000000000000004E-2</v>
      </c>
      <c r="AC35" s="68">
        <v>919.33</v>
      </c>
      <c r="AD35" s="69">
        <v>8.3000000000000004E-2</v>
      </c>
      <c r="AE35" s="68">
        <v>919.33</v>
      </c>
      <c r="AF35" s="69">
        <v>8.3000000000000004E-2</v>
      </c>
      <c r="AG35" s="68">
        <v>919.33</v>
      </c>
      <c r="AH35" s="69">
        <v>8.3000000000000004E-2</v>
      </c>
      <c r="AI35" s="63">
        <f t="shared" si="4"/>
        <v>11031.960000000001</v>
      </c>
      <c r="AJ35" s="23"/>
      <c r="AK35" s="24"/>
    </row>
    <row r="36" spans="1:37" x14ac:dyDescent="0.25">
      <c r="A36" s="64">
        <v>510</v>
      </c>
      <c r="B36" s="65">
        <v>20</v>
      </c>
      <c r="C36" s="65">
        <v>5240</v>
      </c>
      <c r="D36" s="66" t="s">
        <v>19</v>
      </c>
      <c r="E36" s="65">
        <v>11320502</v>
      </c>
      <c r="F36" s="65">
        <v>5002</v>
      </c>
      <c r="G36" s="66" t="s">
        <v>22</v>
      </c>
      <c r="H36" s="66" t="s">
        <v>19</v>
      </c>
      <c r="I36" s="65">
        <v>20</v>
      </c>
      <c r="J36" s="67" t="s">
        <v>38</v>
      </c>
      <c r="K36" s="68"/>
      <c r="L36" s="69"/>
      <c r="M36" s="68"/>
      <c r="N36" s="69"/>
      <c r="O36" s="68"/>
      <c r="P36" s="69"/>
      <c r="Q36" s="68"/>
      <c r="R36" s="69"/>
      <c r="S36" s="68">
        <v>1215.5</v>
      </c>
      <c r="T36" s="69">
        <v>0.11</v>
      </c>
      <c r="U36" s="68">
        <v>1215.5</v>
      </c>
      <c r="V36" s="69">
        <v>0.11</v>
      </c>
      <c r="W36" s="68">
        <v>1215.5</v>
      </c>
      <c r="X36" s="69">
        <v>0.11</v>
      </c>
      <c r="Y36" s="68">
        <v>1215.5</v>
      </c>
      <c r="Z36" s="69">
        <v>0.11</v>
      </c>
      <c r="AA36" s="68">
        <v>1215.5</v>
      </c>
      <c r="AB36" s="69">
        <v>0.11</v>
      </c>
      <c r="AC36" s="68">
        <v>1215.5</v>
      </c>
      <c r="AD36" s="69">
        <v>0.11</v>
      </c>
      <c r="AE36" s="68">
        <v>1215.5</v>
      </c>
      <c r="AF36" s="69">
        <v>0.11</v>
      </c>
      <c r="AG36" s="68">
        <v>1215.5</v>
      </c>
      <c r="AH36" s="69">
        <v>0.11</v>
      </c>
      <c r="AI36" s="63">
        <f t="shared" si="4"/>
        <v>9724</v>
      </c>
      <c r="AJ36" s="23"/>
      <c r="AK36" s="24"/>
    </row>
    <row r="37" spans="1:37" ht="15.75" thickBot="1" x14ac:dyDescent="0.3">
      <c r="A37" s="71">
        <v>510</v>
      </c>
      <c r="B37" s="72">
        <v>20</v>
      </c>
      <c r="C37" s="72">
        <v>5220</v>
      </c>
      <c r="D37" s="73" t="s">
        <v>19</v>
      </c>
      <c r="E37" s="72">
        <v>12404400</v>
      </c>
      <c r="F37" s="72">
        <v>5002</v>
      </c>
      <c r="G37" s="73" t="s">
        <v>22</v>
      </c>
      <c r="H37" s="73" t="s">
        <v>19</v>
      </c>
      <c r="I37" s="72">
        <v>20</v>
      </c>
      <c r="J37" s="74" t="s">
        <v>34</v>
      </c>
      <c r="K37" s="75">
        <v>1138.17</v>
      </c>
      <c r="L37" s="76">
        <v>0.10299999999999999</v>
      </c>
      <c r="M37" s="75">
        <v>1138.17</v>
      </c>
      <c r="N37" s="76">
        <v>0.1</v>
      </c>
      <c r="O37" s="75">
        <v>1138.17</v>
      </c>
      <c r="P37" s="76">
        <v>0.1</v>
      </c>
      <c r="Q37" s="75">
        <v>1138.17</v>
      </c>
      <c r="R37" s="76">
        <v>0.1</v>
      </c>
      <c r="S37" s="75">
        <v>1138.17</v>
      </c>
      <c r="T37" s="76">
        <v>0.1</v>
      </c>
      <c r="U37" s="75">
        <v>1138.17</v>
      </c>
      <c r="V37" s="76">
        <v>0.1</v>
      </c>
      <c r="W37" s="75">
        <v>1138.17</v>
      </c>
      <c r="X37" s="76">
        <v>0.1</v>
      </c>
      <c r="Y37" s="75">
        <v>1138.17</v>
      </c>
      <c r="Z37" s="76">
        <v>0.1</v>
      </c>
      <c r="AA37" s="75">
        <v>1138.17</v>
      </c>
      <c r="AB37" s="76">
        <v>0.1</v>
      </c>
      <c r="AC37" s="75">
        <v>1138.17</v>
      </c>
      <c r="AD37" s="76">
        <v>0.1</v>
      </c>
      <c r="AE37" s="75">
        <v>1138.17</v>
      </c>
      <c r="AF37" s="76">
        <v>0.1</v>
      </c>
      <c r="AG37" s="75">
        <v>1138.17</v>
      </c>
      <c r="AH37" s="76">
        <v>0.1</v>
      </c>
      <c r="AI37" s="63">
        <f t="shared" si="4"/>
        <v>13658.04</v>
      </c>
      <c r="AJ37" s="23"/>
      <c r="AK37" s="24"/>
    </row>
    <row r="38" spans="1:37" ht="15.75" thickBot="1" x14ac:dyDescent="0.3">
      <c r="A38" s="26"/>
      <c r="B38" s="26"/>
      <c r="C38" s="26"/>
      <c r="D38" s="26"/>
      <c r="E38" s="105"/>
      <c r="F38" s="26"/>
      <c r="G38" s="26"/>
      <c r="H38" s="26"/>
      <c r="I38" s="26"/>
      <c r="J38" s="42"/>
      <c r="K38" s="43">
        <f t="shared" ref="K38:AI38" si="5">SUM(K30:K37)</f>
        <v>11050</v>
      </c>
      <c r="L38" s="44">
        <f t="shared" si="5"/>
        <v>0.996</v>
      </c>
      <c r="M38" s="43">
        <f t="shared" si="5"/>
        <v>11050</v>
      </c>
      <c r="N38" s="44">
        <f t="shared" si="5"/>
        <v>1.0030000000000001</v>
      </c>
      <c r="O38" s="43">
        <f t="shared" si="5"/>
        <v>11050</v>
      </c>
      <c r="P38" s="44">
        <f t="shared" si="5"/>
        <v>1.0030000000000001</v>
      </c>
      <c r="Q38" s="43">
        <f t="shared" si="5"/>
        <v>11050</v>
      </c>
      <c r="R38" s="45">
        <f t="shared" si="5"/>
        <v>1.0030000000000001</v>
      </c>
      <c r="S38" s="43">
        <f t="shared" si="5"/>
        <v>11050</v>
      </c>
      <c r="T38" s="45">
        <f t="shared" si="5"/>
        <v>1.0030000000000001</v>
      </c>
      <c r="U38" s="43">
        <f t="shared" si="5"/>
        <v>11050</v>
      </c>
      <c r="V38" s="44">
        <f t="shared" si="5"/>
        <v>1.0030000000000001</v>
      </c>
      <c r="W38" s="43">
        <f t="shared" si="5"/>
        <v>11050</v>
      </c>
      <c r="X38" s="44">
        <f t="shared" si="5"/>
        <v>1.0030000000000001</v>
      </c>
      <c r="Y38" s="43">
        <f t="shared" si="5"/>
        <v>11050</v>
      </c>
      <c r="Z38" s="44">
        <f t="shared" si="5"/>
        <v>1.0030000000000001</v>
      </c>
      <c r="AA38" s="43">
        <f t="shared" si="5"/>
        <v>11050</v>
      </c>
      <c r="AB38" s="44">
        <f t="shared" si="5"/>
        <v>1.0030000000000001</v>
      </c>
      <c r="AC38" s="43">
        <f t="shared" si="5"/>
        <v>11050</v>
      </c>
      <c r="AD38" s="44">
        <f t="shared" si="5"/>
        <v>1.0030000000000001</v>
      </c>
      <c r="AE38" s="43">
        <f t="shared" si="5"/>
        <v>11050</v>
      </c>
      <c r="AF38" s="44">
        <f t="shared" si="5"/>
        <v>1.0030000000000001</v>
      </c>
      <c r="AG38" s="43">
        <f t="shared" si="5"/>
        <v>11050</v>
      </c>
      <c r="AH38" s="44">
        <f t="shared" si="5"/>
        <v>1.0030000000000001</v>
      </c>
      <c r="AI38" s="77">
        <f t="shared" si="5"/>
        <v>132600.00000000003</v>
      </c>
      <c r="AJ38" s="78">
        <f>SUM(AI31:AI37)</f>
        <v>86654.81</v>
      </c>
      <c r="AK38" s="79">
        <f>(AJ38/AI38)</f>
        <v>0.65350535444947189</v>
      </c>
    </row>
    <row r="39" spans="1:37" ht="15.75" thickBot="1" x14ac:dyDescent="0.3"/>
    <row r="40" spans="1:37" ht="41.25" thickBot="1" x14ac:dyDescent="0.3">
      <c r="A40" s="147" t="s">
        <v>0</v>
      </c>
      <c r="B40" s="148"/>
      <c r="C40" s="148"/>
      <c r="D40" s="148"/>
      <c r="E40" s="148"/>
      <c r="F40" s="148" t="s">
        <v>43</v>
      </c>
      <c r="G40" s="148"/>
      <c r="H40" s="148"/>
      <c r="I40" s="148"/>
      <c r="J40" s="1"/>
      <c r="K40" s="143">
        <v>44378</v>
      </c>
      <c r="L40" s="144"/>
      <c r="M40" s="143">
        <v>44409</v>
      </c>
      <c r="N40" s="144"/>
      <c r="O40" s="143">
        <v>44440</v>
      </c>
      <c r="P40" s="144"/>
      <c r="Q40" s="143">
        <v>44470</v>
      </c>
      <c r="R40" s="144"/>
      <c r="S40" s="143">
        <v>44501</v>
      </c>
      <c r="T40" s="144"/>
      <c r="U40" s="143">
        <v>44531</v>
      </c>
      <c r="V40" s="144"/>
      <c r="W40" s="143">
        <v>44562</v>
      </c>
      <c r="X40" s="144"/>
      <c r="Y40" s="143">
        <v>44593</v>
      </c>
      <c r="Z40" s="144"/>
      <c r="AA40" s="143">
        <v>44621</v>
      </c>
      <c r="AB40" s="144"/>
      <c r="AC40" s="143">
        <v>44652</v>
      </c>
      <c r="AD40" s="144"/>
      <c r="AE40" s="143">
        <v>44682</v>
      </c>
      <c r="AF40" s="144"/>
      <c r="AG40" s="143">
        <v>44713</v>
      </c>
      <c r="AH40" s="144"/>
      <c r="AI40" s="80" t="s">
        <v>1</v>
      </c>
      <c r="AJ40" s="3" t="s">
        <v>2</v>
      </c>
      <c r="AK40" s="4" t="s">
        <v>40</v>
      </c>
    </row>
    <row r="41" spans="1:37" ht="15.75" thickBot="1" x14ac:dyDescent="0.3">
      <c r="A41" s="81" t="s">
        <v>4</v>
      </c>
      <c r="B41" s="82" t="s">
        <v>5</v>
      </c>
      <c r="C41" s="82" t="s">
        <v>6</v>
      </c>
      <c r="D41" s="82" t="s">
        <v>7</v>
      </c>
      <c r="E41" s="109" t="s">
        <v>8</v>
      </c>
      <c r="F41" s="82" t="s">
        <v>9</v>
      </c>
      <c r="G41" s="82" t="s">
        <v>10</v>
      </c>
      <c r="H41" s="82" t="s">
        <v>11</v>
      </c>
      <c r="I41" s="82" t="s">
        <v>12</v>
      </c>
      <c r="J41" s="83" t="s">
        <v>13</v>
      </c>
      <c r="K41" s="84" t="s">
        <v>14</v>
      </c>
      <c r="L41" s="85" t="s">
        <v>15</v>
      </c>
      <c r="M41" s="84" t="s">
        <v>14</v>
      </c>
      <c r="N41" s="85" t="s">
        <v>15</v>
      </c>
      <c r="O41" s="86" t="s">
        <v>14</v>
      </c>
      <c r="P41" s="85" t="s">
        <v>15</v>
      </c>
      <c r="Q41" s="84" t="s">
        <v>14</v>
      </c>
      <c r="R41" s="85" t="s">
        <v>15</v>
      </c>
      <c r="S41" s="84" t="s">
        <v>14</v>
      </c>
      <c r="T41" s="85" t="s">
        <v>15</v>
      </c>
      <c r="U41" s="84" t="s">
        <v>14</v>
      </c>
      <c r="V41" s="85" t="s">
        <v>15</v>
      </c>
      <c r="W41" s="84" t="s">
        <v>14</v>
      </c>
      <c r="X41" s="85" t="s">
        <v>15</v>
      </c>
      <c r="Y41" s="84" t="s">
        <v>14</v>
      </c>
      <c r="Z41" s="85" t="s">
        <v>15</v>
      </c>
      <c r="AA41" s="84" t="s">
        <v>14</v>
      </c>
      <c r="AB41" s="85" t="s">
        <v>15</v>
      </c>
      <c r="AC41" s="84" t="s">
        <v>14</v>
      </c>
      <c r="AD41" s="85" t="s">
        <v>15</v>
      </c>
      <c r="AE41" s="84" t="s">
        <v>14</v>
      </c>
      <c r="AF41" s="85" t="s">
        <v>15</v>
      </c>
      <c r="AG41" s="84" t="s">
        <v>14</v>
      </c>
      <c r="AH41" s="85" t="s">
        <v>15</v>
      </c>
      <c r="AI41" s="87"/>
      <c r="AJ41" s="14"/>
      <c r="AK41" s="15"/>
    </row>
    <row r="42" spans="1:37" x14ac:dyDescent="0.25">
      <c r="A42" s="88" t="s">
        <v>16</v>
      </c>
      <c r="B42" s="89" t="s">
        <v>17</v>
      </c>
      <c r="C42" s="89" t="s">
        <v>18</v>
      </c>
      <c r="D42" s="89" t="s">
        <v>19</v>
      </c>
      <c r="E42" s="110" t="s">
        <v>20</v>
      </c>
      <c r="F42" s="89" t="s">
        <v>21</v>
      </c>
      <c r="G42" s="89" t="s">
        <v>22</v>
      </c>
      <c r="H42" s="89" t="s">
        <v>19</v>
      </c>
      <c r="I42" s="89" t="s">
        <v>23</v>
      </c>
      <c r="J42" s="53" t="s">
        <v>24</v>
      </c>
      <c r="K42" s="54">
        <v>5242.24</v>
      </c>
      <c r="L42" s="55">
        <v>0.52</v>
      </c>
      <c r="M42" s="54">
        <v>5242.24</v>
      </c>
      <c r="N42" s="55">
        <v>0.52</v>
      </c>
      <c r="O42" s="54">
        <v>5242.24</v>
      </c>
      <c r="P42" s="55">
        <v>0.52</v>
      </c>
      <c r="Q42" s="54">
        <v>5492.24</v>
      </c>
      <c r="R42" s="55">
        <v>0.52</v>
      </c>
      <c r="S42" s="54">
        <v>5492.24</v>
      </c>
      <c r="T42" s="55">
        <v>0.52</v>
      </c>
      <c r="U42" s="54">
        <v>5492.24</v>
      </c>
      <c r="V42" s="55">
        <v>0.52</v>
      </c>
      <c r="W42" s="54">
        <v>5695.75</v>
      </c>
      <c r="X42" s="55">
        <v>0.53</v>
      </c>
      <c r="Y42" s="54">
        <v>5695.75</v>
      </c>
      <c r="Z42" s="55">
        <v>0.53</v>
      </c>
      <c r="AA42" s="54">
        <v>5695.75</v>
      </c>
      <c r="AB42" s="55">
        <v>0.53</v>
      </c>
      <c r="AC42" s="54">
        <v>5695.75</v>
      </c>
      <c r="AD42" s="55">
        <v>0.53</v>
      </c>
      <c r="AE42" s="54">
        <v>5695.75</v>
      </c>
      <c r="AF42" s="55">
        <v>0.53</v>
      </c>
      <c r="AG42" s="54">
        <v>5695.75</v>
      </c>
      <c r="AH42" s="55">
        <v>0.53</v>
      </c>
      <c r="AI42" s="56">
        <f t="shared" ref="AI42:AI47" si="6">SUM(K42,M42,O42,Q42,S42,U42,W42, Y42,AA42,AC42,AE42,AG42)</f>
        <v>66377.94</v>
      </c>
      <c r="AJ42" s="23"/>
      <c r="AK42" s="24"/>
    </row>
    <row r="43" spans="1:37" x14ac:dyDescent="0.25">
      <c r="A43" s="90">
        <v>510</v>
      </c>
      <c r="B43" s="91">
        <v>20</v>
      </c>
      <c r="C43" s="91">
        <v>5225</v>
      </c>
      <c r="D43" s="92" t="s">
        <v>19</v>
      </c>
      <c r="E43" s="111">
        <v>11298401</v>
      </c>
      <c r="F43" s="91">
        <v>5002</v>
      </c>
      <c r="G43" s="92" t="s">
        <v>22</v>
      </c>
      <c r="H43" s="92" t="s">
        <v>19</v>
      </c>
      <c r="I43" s="91">
        <v>20</v>
      </c>
      <c r="J43" s="60" t="s">
        <v>25</v>
      </c>
      <c r="K43" s="61">
        <v>1012.5</v>
      </c>
      <c r="L43" s="62">
        <v>0.1</v>
      </c>
      <c r="M43" s="61">
        <v>1012.5</v>
      </c>
      <c r="N43" s="62">
        <v>0.1</v>
      </c>
      <c r="O43" s="61">
        <v>1012.5</v>
      </c>
      <c r="P43" s="62">
        <v>0.1</v>
      </c>
      <c r="Q43" s="61">
        <v>1012.5</v>
      </c>
      <c r="R43" s="62">
        <v>0.1</v>
      </c>
      <c r="S43" s="61">
        <v>1012.5</v>
      </c>
      <c r="T43" s="62">
        <v>0.1</v>
      </c>
      <c r="U43" s="61">
        <v>1012.5</v>
      </c>
      <c r="V43" s="62">
        <v>0.1</v>
      </c>
      <c r="W43" s="61">
        <v>1083.33</v>
      </c>
      <c r="X43" s="62">
        <v>0.09</v>
      </c>
      <c r="Y43" s="61">
        <v>1083.33</v>
      </c>
      <c r="Z43" s="62">
        <v>0.09</v>
      </c>
      <c r="AA43" s="61">
        <v>1083.33</v>
      </c>
      <c r="AB43" s="62">
        <v>0.09</v>
      </c>
      <c r="AC43" s="61">
        <v>1083.33</v>
      </c>
      <c r="AD43" s="62">
        <v>0.09</v>
      </c>
      <c r="AE43" s="61">
        <v>1083.33</v>
      </c>
      <c r="AF43" s="62">
        <v>0.09</v>
      </c>
      <c r="AG43" s="61">
        <v>1083.33</v>
      </c>
      <c r="AH43" s="62">
        <v>0.09</v>
      </c>
      <c r="AI43" s="63">
        <f t="shared" si="6"/>
        <v>12574.98</v>
      </c>
      <c r="AJ43" s="23"/>
      <c r="AK43" s="24"/>
    </row>
    <row r="44" spans="1:37" x14ac:dyDescent="0.25">
      <c r="A44" s="93">
        <v>510</v>
      </c>
      <c r="B44" s="94">
        <v>11</v>
      </c>
      <c r="C44" s="94">
        <v>1110</v>
      </c>
      <c r="D44" s="95" t="s">
        <v>26</v>
      </c>
      <c r="E44" s="112">
        <v>11317900</v>
      </c>
      <c r="F44" s="94">
        <v>5002</v>
      </c>
      <c r="G44" s="95" t="s">
        <v>22</v>
      </c>
      <c r="H44" s="95" t="s">
        <v>19</v>
      </c>
      <c r="I44" s="94">
        <v>20</v>
      </c>
      <c r="J44" s="67" t="s">
        <v>41</v>
      </c>
      <c r="K44" s="68">
        <v>1625.08</v>
      </c>
      <c r="L44" s="69">
        <v>0.16</v>
      </c>
      <c r="M44" s="68">
        <v>1625.08</v>
      </c>
      <c r="N44" s="69">
        <v>0.16</v>
      </c>
      <c r="O44" s="68">
        <v>1625.08</v>
      </c>
      <c r="P44" s="69">
        <v>0.16</v>
      </c>
      <c r="Q44" s="68">
        <v>1625.08</v>
      </c>
      <c r="R44" s="69">
        <v>0.16</v>
      </c>
      <c r="S44" s="68">
        <v>1625.08</v>
      </c>
      <c r="T44" s="69">
        <v>0.16</v>
      </c>
      <c r="U44" s="68">
        <v>1625.08</v>
      </c>
      <c r="V44" s="69">
        <v>0.16</v>
      </c>
      <c r="W44" s="68">
        <v>1625.08</v>
      </c>
      <c r="X44" s="69">
        <v>0.15</v>
      </c>
      <c r="Y44" s="68">
        <v>1625.08</v>
      </c>
      <c r="Z44" s="69">
        <v>0.15</v>
      </c>
      <c r="AA44" s="68">
        <v>1625.08</v>
      </c>
      <c r="AB44" s="69">
        <v>0.15</v>
      </c>
      <c r="AC44" s="68">
        <v>1625.08</v>
      </c>
      <c r="AD44" s="69">
        <v>0.15</v>
      </c>
      <c r="AE44" s="68">
        <v>1625.08</v>
      </c>
      <c r="AF44" s="69">
        <v>0.15</v>
      </c>
      <c r="AG44" s="68">
        <v>1625.08</v>
      </c>
      <c r="AH44" s="69">
        <v>0.15</v>
      </c>
      <c r="AI44" s="63">
        <f t="shared" si="6"/>
        <v>19500.96</v>
      </c>
      <c r="AJ44" s="23"/>
      <c r="AK44" s="24"/>
    </row>
    <row r="45" spans="1:37" x14ac:dyDescent="0.25">
      <c r="A45" s="93">
        <v>510</v>
      </c>
      <c r="B45" s="94">
        <v>19</v>
      </c>
      <c r="C45" s="94">
        <v>4105</v>
      </c>
      <c r="D45" s="95" t="s">
        <v>19</v>
      </c>
      <c r="E45" s="112">
        <v>11310300</v>
      </c>
      <c r="F45" s="94">
        <v>5002</v>
      </c>
      <c r="G45" s="95" t="s">
        <v>22</v>
      </c>
      <c r="H45" s="95" t="s">
        <v>19</v>
      </c>
      <c r="I45" s="94">
        <v>20</v>
      </c>
      <c r="J45" s="67" t="s">
        <v>28</v>
      </c>
      <c r="K45" s="68">
        <v>946.67</v>
      </c>
      <c r="L45" s="69">
        <v>0.09</v>
      </c>
      <c r="M45" s="68">
        <v>946.67</v>
      </c>
      <c r="N45" s="69">
        <v>0.09</v>
      </c>
      <c r="O45" s="68">
        <v>946.67</v>
      </c>
      <c r="P45" s="69">
        <v>0.09</v>
      </c>
      <c r="Q45" s="68">
        <v>946.67</v>
      </c>
      <c r="R45" s="69">
        <v>0.09</v>
      </c>
      <c r="S45" s="68">
        <v>946.67</v>
      </c>
      <c r="T45" s="69">
        <v>0.09</v>
      </c>
      <c r="U45" s="68">
        <v>946.67</v>
      </c>
      <c r="V45" s="69">
        <v>0.09</v>
      </c>
      <c r="W45" s="68">
        <v>988.51</v>
      </c>
      <c r="X45" s="69">
        <v>0.09</v>
      </c>
      <c r="Y45" s="68">
        <v>988.51</v>
      </c>
      <c r="Z45" s="69">
        <v>0.09</v>
      </c>
      <c r="AA45" s="68">
        <v>988.51</v>
      </c>
      <c r="AB45" s="69">
        <v>0.09</v>
      </c>
      <c r="AC45" s="68">
        <v>988.51</v>
      </c>
      <c r="AD45" s="69">
        <v>0.09</v>
      </c>
      <c r="AE45" s="68">
        <v>988.51</v>
      </c>
      <c r="AF45" s="69">
        <v>0.09</v>
      </c>
      <c r="AG45" s="68">
        <v>988.51</v>
      </c>
      <c r="AH45" s="69">
        <v>0.09</v>
      </c>
      <c r="AI45" s="63">
        <f t="shared" si="6"/>
        <v>11611.08</v>
      </c>
      <c r="AJ45" s="23"/>
      <c r="AK45" s="24"/>
    </row>
    <row r="46" spans="1:37" x14ac:dyDescent="0.25">
      <c r="A46" s="93">
        <v>510</v>
      </c>
      <c r="B46" s="94">
        <v>20</v>
      </c>
      <c r="C46" s="94">
        <v>5220</v>
      </c>
      <c r="D46" s="95" t="s">
        <v>19</v>
      </c>
      <c r="E46" s="112">
        <v>11298500</v>
      </c>
      <c r="F46" s="94">
        <v>5002</v>
      </c>
      <c r="G46" s="95" t="s">
        <v>22</v>
      </c>
      <c r="H46" s="95" t="s">
        <v>19</v>
      </c>
      <c r="I46" s="94">
        <v>20</v>
      </c>
      <c r="J46" s="67" t="s">
        <v>29</v>
      </c>
      <c r="K46" s="68">
        <v>378.67</v>
      </c>
      <c r="L46" s="69">
        <v>0.04</v>
      </c>
      <c r="M46" s="68">
        <v>378.67</v>
      </c>
      <c r="N46" s="69">
        <v>0.04</v>
      </c>
      <c r="O46" s="68">
        <v>378.67</v>
      </c>
      <c r="P46" s="69">
        <v>0.04</v>
      </c>
      <c r="Q46" s="68">
        <v>378.67</v>
      </c>
      <c r="R46" s="69">
        <v>0.04</v>
      </c>
      <c r="S46" s="68">
        <v>378.67</v>
      </c>
      <c r="T46" s="69">
        <v>0.04</v>
      </c>
      <c r="U46" s="68">
        <v>378.67</v>
      </c>
      <c r="V46" s="69">
        <v>0.04</v>
      </c>
      <c r="W46" s="68">
        <v>395.41</v>
      </c>
      <c r="X46" s="69">
        <v>0.04</v>
      </c>
      <c r="Y46" s="68">
        <v>395.41</v>
      </c>
      <c r="Z46" s="69">
        <v>0.04</v>
      </c>
      <c r="AA46" s="68">
        <v>395.41</v>
      </c>
      <c r="AB46" s="69">
        <v>0.04</v>
      </c>
      <c r="AC46" s="68">
        <v>395.41</v>
      </c>
      <c r="AD46" s="69">
        <v>0.04</v>
      </c>
      <c r="AE46" s="68">
        <v>395.41</v>
      </c>
      <c r="AF46" s="69">
        <v>0.04</v>
      </c>
      <c r="AG46" s="68">
        <v>395.41</v>
      </c>
      <c r="AH46" s="69">
        <v>0.04</v>
      </c>
      <c r="AI46" s="63">
        <f t="shared" si="6"/>
        <v>4644.4799999999996</v>
      </c>
      <c r="AJ46" s="23"/>
      <c r="AK46" s="24"/>
    </row>
    <row r="47" spans="1:37" ht="15.75" thickBot="1" x14ac:dyDescent="0.3">
      <c r="A47" s="96">
        <v>510</v>
      </c>
      <c r="B47" s="97">
        <v>20</v>
      </c>
      <c r="C47" s="97">
        <v>5220</v>
      </c>
      <c r="D47" s="98" t="s">
        <v>19</v>
      </c>
      <c r="E47" s="113">
        <v>11320500</v>
      </c>
      <c r="F47" s="97">
        <v>5002</v>
      </c>
      <c r="G47" s="98" t="s">
        <v>22</v>
      </c>
      <c r="H47" s="98" t="s">
        <v>19</v>
      </c>
      <c r="I47" s="97">
        <v>20</v>
      </c>
      <c r="J47" s="99" t="s">
        <v>42</v>
      </c>
      <c r="K47" s="75">
        <v>919.83</v>
      </c>
      <c r="L47" s="76">
        <v>0.09</v>
      </c>
      <c r="M47" s="75">
        <v>919.83</v>
      </c>
      <c r="N47" s="76">
        <v>0.09</v>
      </c>
      <c r="O47" s="75">
        <v>919.83</v>
      </c>
      <c r="P47" s="76">
        <v>0.09</v>
      </c>
      <c r="Q47" s="75">
        <v>919.83</v>
      </c>
      <c r="R47" s="76">
        <v>0.09</v>
      </c>
      <c r="S47" s="75">
        <v>919.83</v>
      </c>
      <c r="T47" s="76">
        <v>0.09</v>
      </c>
      <c r="U47" s="75">
        <v>919.83</v>
      </c>
      <c r="V47" s="76">
        <v>0.09</v>
      </c>
      <c r="W47" s="75">
        <v>1045.25</v>
      </c>
      <c r="X47" s="76">
        <v>0.1</v>
      </c>
      <c r="Y47" s="75">
        <v>1045.25</v>
      </c>
      <c r="Z47" s="76">
        <v>0.1</v>
      </c>
      <c r="AA47" s="75">
        <v>1045.25</v>
      </c>
      <c r="AB47" s="76">
        <v>0.1</v>
      </c>
      <c r="AC47" s="75">
        <v>1045.25</v>
      </c>
      <c r="AD47" s="76">
        <v>0.1</v>
      </c>
      <c r="AE47" s="75">
        <v>1045.25</v>
      </c>
      <c r="AF47" s="76">
        <v>0.1</v>
      </c>
      <c r="AG47" s="75">
        <v>1045.25</v>
      </c>
      <c r="AH47" s="76">
        <v>0.1</v>
      </c>
      <c r="AI47" s="63">
        <f t="shared" si="6"/>
        <v>11790.48</v>
      </c>
      <c r="AJ47" s="23"/>
      <c r="AK47" s="24"/>
    </row>
    <row r="48" spans="1:37" ht="15.75" thickBot="1" x14ac:dyDescent="0.3">
      <c r="A48" s="100"/>
      <c r="B48" s="100"/>
      <c r="C48" s="100"/>
      <c r="D48" s="100"/>
      <c r="E48" s="114"/>
      <c r="F48" s="100"/>
      <c r="G48" s="100"/>
      <c r="H48" s="100"/>
      <c r="I48" s="100"/>
      <c r="J48" s="42"/>
      <c r="K48" s="43">
        <f t="shared" ref="K48:AI48" si="7">SUM(K42:K47)</f>
        <v>10124.99</v>
      </c>
      <c r="L48" s="44">
        <f t="shared" si="7"/>
        <v>1</v>
      </c>
      <c r="M48" s="43">
        <f t="shared" si="7"/>
        <v>10124.99</v>
      </c>
      <c r="N48" s="44">
        <f t="shared" si="7"/>
        <v>1</v>
      </c>
      <c r="O48" s="43">
        <f t="shared" si="7"/>
        <v>10124.99</v>
      </c>
      <c r="P48" s="44">
        <f t="shared" si="7"/>
        <v>1</v>
      </c>
      <c r="Q48" s="43">
        <f t="shared" si="7"/>
        <v>10374.99</v>
      </c>
      <c r="R48" s="45">
        <f t="shared" si="7"/>
        <v>1</v>
      </c>
      <c r="S48" s="43">
        <f t="shared" si="7"/>
        <v>10374.99</v>
      </c>
      <c r="T48" s="45">
        <f t="shared" si="7"/>
        <v>1</v>
      </c>
      <c r="U48" s="43">
        <f t="shared" si="7"/>
        <v>10374.99</v>
      </c>
      <c r="V48" s="44">
        <f t="shared" si="7"/>
        <v>1</v>
      </c>
      <c r="W48" s="43">
        <f t="shared" si="7"/>
        <v>10833.33</v>
      </c>
      <c r="X48" s="44">
        <f t="shared" si="7"/>
        <v>1</v>
      </c>
      <c r="Y48" s="43">
        <f t="shared" si="7"/>
        <v>10833.33</v>
      </c>
      <c r="Z48" s="44">
        <f t="shared" si="7"/>
        <v>1</v>
      </c>
      <c r="AA48" s="43">
        <f t="shared" si="7"/>
        <v>10833.33</v>
      </c>
      <c r="AB48" s="44">
        <f t="shared" si="7"/>
        <v>1</v>
      </c>
      <c r="AC48" s="43">
        <f t="shared" si="7"/>
        <v>10833.33</v>
      </c>
      <c r="AD48" s="44">
        <f t="shared" si="7"/>
        <v>1</v>
      </c>
      <c r="AE48" s="43">
        <f t="shared" si="7"/>
        <v>10833.33</v>
      </c>
      <c r="AF48" s="44">
        <f t="shared" si="7"/>
        <v>1</v>
      </c>
      <c r="AG48" s="43">
        <f t="shared" si="7"/>
        <v>10833.33</v>
      </c>
      <c r="AH48" s="44">
        <f t="shared" si="7"/>
        <v>1</v>
      </c>
      <c r="AI48" s="77">
        <f t="shared" si="7"/>
        <v>126499.92</v>
      </c>
      <c r="AJ48" s="78">
        <f>SUM(AI43:AI47)</f>
        <v>60121.979999999996</v>
      </c>
      <c r="AK48" s="79">
        <f>(AJ48/AI48)</f>
        <v>0.47527286973778321</v>
      </c>
    </row>
    <row r="49" spans="1:37" ht="15.75" thickBot="1" x14ac:dyDescent="0.3"/>
    <row r="50" spans="1:37" ht="41.25" thickBot="1" x14ac:dyDescent="0.3">
      <c r="A50" s="147" t="s">
        <v>0</v>
      </c>
      <c r="B50" s="148"/>
      <c r="C50" s="148"/>
      <c r="D50" s="148"/>
      <c r="E50" s="148"/>
      <c r="F50" s="148" t="s">
        <v>47</v>
      </c>
      <c r="G50" s="148"/>
      <c r="H50" s="148"/>
      <c r="I50" s="148"/>
      <c r="J50" s="1"/>
      <c r="K50" s="143">
        <v>44013</v>
      </c>
      <c r="L50" s="144"/>
      <c r="M50" s="143">
        <v>44045</v>
      </c>
      <c r="N50" s="144"/>
      <c r="O50" s="143">
        <v>44077</v>
      </c>
      <c r="P50" s="144"/>
      <c r="Q50" s="143">
        <v>44109</v>
      </c>
      <c r="R50" s="144"/>
      <c r="S50" s="143">
        <v>44141</v>
      </c>
      <c r="T50" s="144"/>
      <c r="U50" s="143">
        <v>44173</v>
      </c>
      <c r="V50" s="144"/>
      <c r="W50" s="143">
        <v>44205</v>
      </c>
      <c r="X50" s="144"/>
      <c r="Y50" s="143">
        <v>44237</v>
      </c>
      <c r="Z50" s="144"/>
      <c r="AA50" s="143">
        <v>44269</v>
      </c>
      <c r="AB50" s="144"/>
      <c r="AC50" s="143">
        <v>44301</v>
      </c>
      <c r="AD50" s="144"/>
      <c r="AE50" s="143">
        <v>44333</v>
      </c>
      <c r="AF50" s="144"/>
      <c r="AG50" s="143">
        <v>44365</v>
      </c>
      <c r="AH50" s="144"/>
      <c r="AI50" s="80" t="s">
        <v>1</v>
      </c>
      <c r="AJ50" s="3" t="s">
        <v>2</v>
      </c>
      <c r="AK50" s="4" t="s">
        <v>40</v>
      </c>
    </row>
    <row r="51" spans="1:37" ht="15.75" thickBot="1" x14ac:dyDescent="0.3">
      <c r="A51" s="81" t="s">
        <v>4</v>
      </c>
      <c r="B51" s="82" t="s">
        <v>5</v>
      </c>
      <c r="C51" s="82" t="s">
        <v>6</v>
      </c>
      <c r="D51" s="82" t="s">
        <v>7</v>
      </c>
      <c r="E51" s="109" t="s">
        <v>8</v>
      </c>
      <c r="F51" s="82" t="s">
        <v>9</v>
      </c>
      <c r="G51" s="82" t="s">
        <v>10</v>
      </c>
      <c r="H51" s="82" t="s">
        <v>11</v>
      </c>
      <c r="I51" s="82" t="s">
        <v>12</v>
      </c>
      <c r="J51" s="83" t="s">
        <v>13</v>
      </c>
      <c r="K51" s="84" t="s">
        <v>14</v>
      </c>
      <c r="L51" s="101" t="s">
        <v>15</v>
      </c>
      <c r="M51" s="84" t="s">
        <v>14</v>
      </c>
      <c r="N51" s="85" t="s">
        <v>15</v>
      </c>
      <c r="O51" s="86" t="s">
        <v>14</v>
      </c>
      <c r="P51" s="85" t="s">
        <v>15</v>
      </c>
      <c r="Q51" s="84" t="s">
        <v>14</v>
      </c>
      <c r="R51" s="85" t="s">
        <v>15</v>
      </c>
      <c r="S51" s="84" t="s">
        <v>14</v>
      </c>
      <c r="T51" s="85" t="s">
        <v>15</v>
      </c>
      <c r="U51" s="84" t="s">
        <v>14</v>
      </c>
      <c r="V51" s="85" t="s">
        <v>15</v>
      </c>
      <c r="W51" s="84" t="s">
        <v>14</v>
      </c>
      <c r="X51" s="85" t="s">
        <v>15</v>
      </c>
      <c r="Y51" s="84" t="s">
        <v>14</v>
      </c>
      <c r="Z51" s="85" t="s">
        <v>15</v>
      </c>
      <c r="AA51" s="84" t="s">
        <v>14</v>
      </c>
      <c r="AB51" s="85" t="s">
        <v>15</v>
      </c>
      <c r="AC51" s="84" t="s">
        <v>14</v>
      </c>
      <c r="AD51" s="85" t="s">
        <v>15</v>
      </c>
      <c r="AE51" s="84" t="s">
        <v>14</v>
      </c>
      <c r="AF51" s="85" t="s">
        <v>15</v>
      </c>
      <c r="AG51" s="84" t="s">
        <v>14</v>
      </c>
      <c r="AH51" s="85" t="s">
        <v>15</v>
      </c>
      <c r="AI51" s="87"/>
      <c r="AJ51" s="14"/>
      <c r="AK51" s="15"/>
    </row>
    <row r="52" spans="1:37" x14ac:dyDescent="0.25">
      <c r="A52" s="88" t="s">
        <v>16</v>
      </c>
      <c r="B52" s="89" t="s">
        <v>17</v>
      </c>
      <c r="C52" s="89" t="s">
        <v>18</v>
      </c>
      <c r="D52" s="89" t="s">
        <v>19</v>
      </c>
      <c r="E52" s="110" t="s">
        <v>20</v>
      </c>
      <c r="F52" s="89" t="s">
        <v>21</v>
      </c>
      <c r="G52" s="89" t="s">
        <v>22</v>
      </c>
      <c r="H52" s="89" t="s">
        <v>19</v>
      </c>
      <c r="I52" s="89" t="s">
        <v>23</v>
      </c>
      <c r="J52" s="53" t="s">
        <v>24</v>
      </c>
      <c r="K52" s="54">
        <v>4670.3500000000004</v>
      </c>
      <c r="L52" s="55">
        <v>0.49</v>
      </c>
      <c r="M52" s="54">
        <v>1809.78</v>
      </c>
      <c r="N52" s="55">
        <v>0.19</v>
      </c>
      <c r="O52" s="54">
        <v>1809.78</v>
      </c>
      <c r="P52" s="55">
        <v>0.19</v>
      </c>
      <c r="Q52" s="54">
        <v>1809.78</v>
      </c>
      <c r="R52" s="55">
        <v>0.19</v>
      </c>
      <c r="S52" s="54">
        <v>1809.78</v>
      </c>
      <c r="T52" s="55">
        <v>0.19</v>
      </c>
      <c r="U52" s="54">
        <v>1809.78</v>
      </c>
      <c r="V52" s="55">
        <v>0.19</v>
      </c>
      <c r="W52" s="54">
        <v>1223.96</v>
      </c>
      <c r="X52" s="134">
        <v>0.125</v>
      </c>
      <c r="Y52" s="54">
        <v>1223.96</v>
      </c>
      <c r="Z52" s="55">
        <v>0.125</v>
      </c>
      <c r="AA52" s="54">
        <v>1223.96</v>
      </c>
      <c r="AB52" s="55">
        <v>0.125</v>
      </c>
      <c r="AC52" s="54">
        <v>1223.96</v>
      </c>
      <c r="AD52" s="55">
        <v>0.125</v>
      </c>
      <c r="AE52" s="54">
        <v>1223.96</v>
      </c>
      <c r="AF52" s="55">
        <v>0.125</v>
      </c>
      <c r="AG52" s="54">
        <v>1223.96</v>
      </c>
      <c r="AH52" s="55">
        <v>0.125</v>
      </c>
      <c r="AI52" s="56">
        <f t="shared" ref="AI52:AI59" si="8">SUM(K52,M52,O52,Q52,S52,U52,W52, Y52,AA52,AC52,AE52,AG52)</f>
        <v>21063.01</v>
      </c>
      <c r="AJ52" s="23"/>
      <c r="AK52" s="24"/>
    </row>
    <row r="53" spans="1:37" x14ac:dyDescent="0.25">
      <c r="A53" s="90">
        <v>510</v>
      </c>
      <c r="B53" s="91">
        <v>20</v>
      </c>
      <c r="C53" s="91">
        <v>5225</v>
      </c>
      <c r="D53" s="92" t="s">
        <v>19</v>
      </c>
      <c r="E53" s="111">
        <v>11298401</v>
      </c>
      <c r="F53" s="91">
        <v>5002</v>
      </c>
      <c r="G53" s="92" t="s">
        <v>22</v>
      </c>
      <c r="H53" s="92" t="s">
        <v>19</v>
      </c>
      <c r="I53" s="91">
        <v>20</v>
      </c>
      <c r="J53" s="60" t="s">
        <v>25</v>
      </c>
      <c r="K53" s="61">
        <v>946.67</v>
      </c>
      <c r="L53" s="62">
        <v>0.1</v>
      </c>
      <c r="M53" s="61">
        <v>946.65</v>
      </c>
      <c r="N53" s="62">
        <v>0.1</v>
      </c>
      <c r="O53" s="61">
        <v>946.65</v>
      </c>
      <c r="P53" s="62">
        <v>0.1</v>
      </c>
      <c r="Q53" s="61">
        <v>946.65</v>
      </c>
      <c r="R53" s="62">
        <v>0.1</v>
      </c>
      <c r="S53" s="61">
        <v>946.65</v>
      </c>
      <c r="T53" s="62">
        <v>0.1</v>
      </c>
      <c r="U53" s="61">
        <v>946.65</v>
      </c>
      <c r="V53" s="62">
        <v>0.1</v>
      </c>
      <c r="W53" s="61">
        <v>979.17</v>
      </c>
      <c r="X53" s="62">
        <v>0.1</v>
      </c>
      <c r="Y53" s="61">
        <v>979.17</v>
      </c>
      <c r="Z53" s="62">
        <v>0.1</v>
      </c>
      <c r="AA53" s="61">
        <v>979.17</v>
      </c>
      <c r="AB53" s="62">
        <v>0.1</v>
      </c>
      <c r="AC53" s="61">
        <v>979.17</v>
      </c>
      <c r="AD53" s="62">
        <v>0.1</v>
      </c>
      <c r="AE53" s="61">
        <v>979.17</v>
      </c>
      <c r="AF53" s="62">
        <v>0.1</v>
      </c>
      <c r="AG53" s="61">
        <v>979.17</v>
      </c>
      <c r="AH53" s="62">
        <v>0.1</v>
      </c>
      <c r="AI53" s="63">
        <f t="shared" si="8"/>
        <v>11554.939999999999</v>
      </c>
      <c r="AJ53" s="23"/>
      <c r="AK53" s="24"/>
    </row>
    <row r="54" spans="1:37" x14ac:dyDescent="0.25">
      <c r="A54" s="93">
        <v>510</v>
      </c>
      <c r="B54" s="94">
        <v>11</v>
      </c>
      <c r="C54" s="94">
        <v>1110</v>
      </c>
      <c r="D54" s="95" t="s">
        <v>26</v>
      </c>
      <c r="E54" s="112">
        <v>11317900</v>
      </c>
      <c r="F54" s="94">
        <v>5002</v>
      </c>
      <c r="G54" s="95" t="s">
        <v>22</v>
      </c>
      <c r="H54" s="95" t="s">
        <v>19</v>
      </c>
      <c r="I54" s="94">
        <v>20</v>
      </c>
      <c r="J54" s="67" t="s">
        <v>41</v>
      </c>
      <c r="K54" s="68">
        <v>1577.67</v>
      </c>
      <c r="L54" s="69">
        <v>0.16669999999999999</v>
      </c>
      <c r="M54" s="68">
        <v>1625.08</v>
      </c>
      <c r="N54" s="69">
        <v>0.16669999999999999</v>
      </c>
      <c r="O54" s="68">
        <v>1625.08</v>
      </c>
      <c r="P54" s="69">
        <v>0.16669999999999999</v>
      </c>
      <c r="Q54" s="68">
        <v>1625.08</v>
      </c>
      <c r="R54" s="69">
        <v>0.16669999999999999</v>
      </c>
      <c r="S54" s="68">
        <v>1625.08</v>
      </c>
      <c r="T54" s="69">
        <v>0.16669999999999999</v>
      </c>
      <c r="U54" s="68">
        <v>1625.08</v>
      </c>
      <c r="V54" s="69">
        <v>0.16669999999999999</v>
      </c>
      <c r="W54" s="68">
        <v>1625.08</v>
      </c>
      <c r="X54" s="69">
        <v>0.16</v>
      </c>
      <c r="Y54" s="68">
        <v>1625.08</v>
      </c>
      <c r="Z54" s="69">
        <v>0.16</v>
      </c>
      <c r="AA54" s="68">
        <v>1625.08</v>
      </c>
      <c r="AB54" s="69">
        <v>0.16</v>
      </c>
      <c r="AC54" s="68">
        <v>1625.08</v>
      </c>
      <c r="AD54" s="69">
        <v>0.16</v>
      </c>
      <c r="AE54" s="68">
        <v>1625.08</v>
      </c>
      <c r="AF54" s="69">
        <v>0.16</v>
      </c>
      <c r="AG54" s="68">
        <v>1625.08</v>
      </c>
      <c r="AH54" s="69">
        <v>0.16</v>
      </c>
      <c r="AI54" s="63">
        <f t="shared" si="8"/>
        <v>19453.550000000003</v>
      </c>
      <c r="AJ54" s="23"/>
      <c r="AK54" s="24"/>
    </row>
    <row r="55" spans="1:37" x14ac:dyDescent="0.25">
      <c r="A55" s="93">
        <v>510</v>
      </c>
      <c r="B55" s="94">
        <v>20</v>
      </c>
      <c r="C55" s="94">
        <v>5210</v>
      </c>
      <c r="D55" s="95" t="s">
        <v>19</v>
      </c>
      <c r="E55" s="112">
        <v>11299200</v>
      </c>
      <c r="F55" s="94">
        <v>5002</v>
      </c>
      <c r="G55" s="95" t="s">
        <v>22</v>
      </c>
      <c r="H55" s="95" t="s">
        <v>19</v>
      </c>
      <c r="I55" s="94">
        <v>20</v>
      </c>
      <c r="J55" s="67" t="s">
        <v>44</v>
      </c>
      <c r="K55" s="68">
        <v>946.65</v>
      </c>
      <c r="L55" s="69">
        <v>0.1</v>
      </c>
      <c r="M55" s="68">
        <v>946.65</v>
      </c>
      <c r="N55" s="69">
        <v>0.1</v>
      </c>
      <c r="O55" s="68">
        <v>946.65</v>
      </c>
      <c r="P55" s="69">
        <v>0.1</v>
      </c>
      <c r="Q55" s="68">
        <v>946.65</v>
      </c>
      <c r="R55" s="69">
        <v>0.1</v>
      </c>
      <c r="S55" s="68">
        <v>946.65</v>
      </c>
      <c r="T55" s="69">
        <v>0.1</v>
      </c>
      <c r="U55" s="68">
        <v>946.65</v>
      </c>
      <c r="V55" s="69">
        <v>0.1</v>
      </c>
      <c r="W55" s="68">
        <v>946.65</v>
      </c>
      <c r="X55" s="69">
        <v>0.1</v>
      </c>
      <c r="Y55" s="68">
        <v>946.65</v>
      </c>
      <c r="Z55" s="69">
        <v>0.1</v>
      </c>
      <c r="AA55" s="68">
        <v>946.65</v>
      </c>
      <c r="AB55" s="69">
        <v>0.1</v>
      </c>
      <c r="AC55" s="68"/>
      <c r="AD55" s="69"/>
      <c r="AE55" s="68"/>
      <c r="AF55" s="69"/>
      <c r="AG55" s="68"/>
      <c r="AH55" s="69"/>
      <c r="AI55" s="63">
        <f t="shared" si="8"/>
        <v>8519.8499999999985</v>
      </c>
      <c r="AJ55" s="23"/>
      <c r="AK55" s="24"/>
    </row>
    <row r="56" spans="1:37" x14ac:dyDescent="0.25">
      <c r="A56" s="93">
        <v>510</v>
      </c>
      <c r="B56" s="94">
        <v>19</v>
      </c>
      <c r="C56" s="94">
        <v>4105</v>
      </c>
      <c r="D56" s="95" t="s">
        <v>19</v>
      </c>
      <c r="E56" s="112">
        <v>11310300</v>
      </c>
      <c r="F56" s="94">
        <v>5002</v>
      </c>
      <c r="G56" s="95" t="s">
        <v>22</v>
      </c>
      <c r="H56" s="95" t="s">
        <v>19</v>
      </c>
      <c r="I56" s="94">
        <v>20</v>
      </c>
      <c r="J56" s="67" t="s">
        <v>28</v>
      </c>
      <c r="K56" s="68">
        <v>946.65</v>
      </c>
      <c r="L56" s="69">
        <v>0.1</v>
      </c>
      <c r="M56" s="68">
        <v>946.67</v>
      </c>
      <c r="N56" s="69">
        <v>0.1</v>
      </c>
      <c r="O56" s="68">
        <v>946.67</v>
      </c>
      <c r="P56" s="69">
        <v>0.1</v>
      </c>
      <c r="Q56" s="68">
        <v>946.67</v>
      </c>
      <c r="R56" s="69">
        <v>0.1</v>
      </c>
      <c r="S56" s="68">
        <v>946.67</v>
      </c>
      <c r="T56" s="69">
        <v>0.1</v>
      </c>
      <c r="U56" s="68">
        <v>946.67</v>
      </c>
      <c r="V56" s="69">
        <v>0.1</v>
      </c>
      <c r="W56" s="68">
        <v>946.67</v>
      </c>
      <c r="X56" s="69">
        <v>0.1</v>
      </c>
      <c r="Y56" s="68">
        <v>946.67</v>
      </c>
      <c r="Z56" s="69">
        <v>0.1</v>
      </c>
      <c r="AA56" s="68">
        <v>946.67</v>
      </c>
      <c r="AB56" s="69">
        <v>0.1</v>
      </c>
      <c r="AC56" s="68">
        <v>946.67</v>
      </c>
      <c r="AD56" s="69">
        <v>0.1</v>
      </c>
      <c r="AE56" s="68">
        <v>946.67</v>
      </c>
      <c r="AF56" s="69">
        <v>0.1</v>
      </c>
      <c r="AG56" s="68">
        <v>946.67</v>
      </c>
      <c r="AH56" s="69">
        <v>0.1</v>
      </c>
      <c r="AI56" s="63">
        <f t="shared" si="8"/>
        <v>11360.02</v>
      </c>
      <c r="AJ56" s="23"/>
      <c r="AK56" s="24"/>
    </row>
    <row r="57" spans="1:37" x14ac:dyDescent="0.25">
      <c r="A57" s="93">
        <v>500</v>
      </c>
      <c r="B57" s="94">
        <v>20</v>
      </c>
      <c r="C57" s="94">
        <v>5220</v>
      </c>
      <c r="D57" s="95" t="s">
        <v>19</v>
      </c>
      <c r="E57" s="112">
        <v>18470901</v>
      </c>
      <c r="F57" s="94">
        <v>5002</v>
      </c>
      <c r="G57" s="95" t="s">
        <v>22</v>
      </c>
      <c r="H57" s="95" t="s">
        <v>19</v>
      </c>
      <c r="I57" s="94">
        <v>20</v>
      </c>
      <c r="J57" s="67" t="s">
        <v>45</v>
      </c>
      <c r="K57" s="68"/>
      <c r="L57" s="69"/>
      <c r="M57" s="68">
        <v>1893.33</v>
      </c>
      <c r="N57" s="69">
        <v>0.2</v>
      </c>
      <c r="O57" s="68">
        <v>1893.33</v>
      </c>
      <c r="P57" s="69">
        <v>0.2</v>
      </c>
      <c r="Q57" s="68">
        <v>1893.33</v>
      </c>
      <c r="R57" s="69">
        <v>0.2</v>
      </c>
      <c r="S57" s="68">
        <v>1893.33</v>
      </c>
      <c r="T57" s="69">
        <v>0.2</v>
      </c>
      <c r="U57" s="68">
        <v>1893.33</v>
      </c>
      <c r="V57" s="69">
        <v>0.2</v>
      </c>
      <c r="W57" s="68">
        <f>SUM(1893.33+878.32)</f>
        <v>2771.65</v>
      </c>
      <c r="X57" s="69">
        <v>0.27</v>
      </c>
      <c r="Y57" s="68">
        <v>2771.65</v>
      </c>
      <c r="Z57" s="69">
        <v>0.27</v>
      </c>
      <c r="AA57" s="68">
        <v>2771.65</v>
      </c>
      <c r="AB57" s="69">
        <v>0.27</v>
      </c>
      <c r="AC57" s="68">
        <f>SUM(1893.33+905.12)</f>
        <v>2798.45</v>
      </c>
      <c r="AD57" s="69">
        <v>0.28000000000000003</v>
      </c>
      <c r="AE57" s="68">
        <f>SUM(1893.33+905.12)</f>
        <v>2798.45</v>
      </c>
      <c r="AF57" s="69">
        <v>0.28000000000000003</v>
      </c>
      <c r="AG57" s="68">
        <v>3592.88</v>
      </c>
      <c r="AH57" s="69">
        <v>0.37</v>
      </c>
      <c r="AI57" s="63">
        <f t="shared" si="8"/>
        <v>26971.38</v>
      </c>
      <c r="AJ57" s="23"/>
      <c r="AK57" s="24"/>
    </row>
    <row r="58" spans="1:37" x14ac:dyDescent="0.25">
      <c r="A58" s="93">
        <v>510</v>
      </c>
      <c r="B58" s="94">
        <v>20</v>
      </c>
      <c r="C58" s="94">
        <v>5220</v>
      </c>
      <c r="D58" s="95" t="s">
        <v>19</v>
      </c>
      <c r="E58" s="112">
        <v>11298500</v>
      </c>
      <c r="F58" s="94">
        <v>5002</v>
      </c>
      <c r="G58" s="95" t="s">
        <v>22</v>
      </c>
      <c r="H58" s="95" t="s">
        <v>19</v>
      </c>
      <c r="I58" s="94">
        <v>20</v>
      </c>
      <c r="J58" s="67" t="s">
        <v>29</v>
      </c>
      <c r="K58" s="68">
        <v>378.67</v>
      </c>
      <c r="L58" s="69">
        <v>0.04</v>
      </c>
      <c r="M58" s="68">
        <v>378.67</v>
      </c>
      <c r="N58" s="69">
        <v>0.04</v>
      </c>
      <c r="O58" s="68">
        <v>378.67</v>
      </c>
      <c r="P58" s="69">
        <v>0.04</v>
      </c>
      <c r="Q58" s="68">
        <v>378.67</v>
      </c>
      <c r="R58" s="69">
        <v>0.04</v>
      </c>
      <c r="S58" s="68">
        <v>378.67</v>
      </c>
      <c r="T58" s="69">
        <v>0.04</v>
      </c>
      <c r="U58" s="68">
        <v>378.67</v>
      </c>
      <c r="V58" s="69">
        <v>0.04</v>
      </c>
      <c r="W58" s="68">
        <v>378.67</v>
      </c>
      <c r="X58" s="69">
        <v>0.04</v>
      </c>
      <c r="Y58" s="68">
        <v>378.67</v>
      </c>
      <c r="Z58" s="69">
        <v>0.04</v>
      </c>
      <c r="AA58" s="68">
        <v>378.67</v>
      </c>
      <c r="AB58" s="69">
        <v>0.04</v>
      </c>
      <c r="AC58" s="68">
        <v>378.67</v>
      </c>
      <c r="AD58" s="69">
        <v>0.04</v>
      </c>
      <c r="AE58" s="68">
        <v>378.67</v>
      </c>
      <c r="AF58" s="69">
        <v>0.04</v>
      </c>
      <c r="AG58" s="68">
        <v>378.67</v>
      </c>
      <c r="AH58" s="69">
        <v>0.04</v>
      </c>
      <c r="AI58" s="63">
        <f t="shared" si="8"/>
        <v>4544.04</v>
      </c>
      <c r="AJ58" s="23"/>
      <c r="AK58" s="24"/>
    </row>
    <row r="59" spans="1:37" ht="15.75" thickBot="1" x14ac:dyDescent="0.3">
      <c r="A59" s="96">
        <v>510</v>
      </c>
      <c r="B59" s="97">
        <v>20</v>
      </c>
      <c r="C59" s="97">
        <v>5220</v>
      </c>
      <c r="D59" s="98" t="s">
        <v>19</v>
      </c>
      <c r="E59" s="113">
        <v>11320500</v>
      </c>
      <c r="F59" s="97">
        <v>5002</v>
      </c>
      <c r="G59" s="98" t="s">
        <v>22</v>
      </c>
      <c r="H59" s="98" t="s">
        <v>19</v>
      </c>
      <c r="I59" s="97">
        <v>20</v>
      </c>
      <c r="J59" s="99" t="s">
        <v>46</v>
      </c>
      <c r="K59" s="75"/>
      <c r="L59" s="76"/>
      <c r="M59" s="75">
        <v>919.83</v>
      </c>
      <c r="N59" s="76">
        <v>0.1</v>
      </c>
      <c r="O59" s="75">
        <v>919.83</v>
      </c>
      <c r="P59" s="76">
        <v>0.1</v>
      </c>
      <c r="Q59" s="75">
        <v>919.83</v>
      </c>
      <c r="R59" s="76">
        <v>0.1</v>
      </c>
      <c r="S59" s="75">
        <v>919.83</v>
      </c>
      <c r="T59" s="76">
        <v>0.1</v>
      </c>
      <c r="U59" s="75">
        <v>919.83</v>
      </c>
      <c r="V59" s="76">
        <v>0.1</v>
      </c>
      <c r="W59" s="75">
        <v>919.83</v>
      </c>
      <c r="X59" s="76">
        <v>0.1</v>
      </c>
      <c r="Y59" s="75">
        <v>919.83</v>
      </c>
      <c r="Z59" s="76">
        <v>0.1</v>
      </c>
      <c r="AA59" s="75">
        <v>919.83</v>
      </c>
      <c r="AB59" s="76">
        <v>0.1</v>
      </c>
      <c r="AC59" s="75">
        <v>1839.68</v>
      </c>
      <c r="AD59" s="76">
        <v>0.19</v>
      </c>
      <c r="AE59" s="75">
        <v>1839.68</v>
      </c>
      <c r="AF59" s="76">
        <v>0.19</v>
      </c>
      <c r="AG59" s="75">
        <v>1045.25</v>
      </c>
      <c r="AH59" s="76">
        <v>0.1</v>
      </c>
      <c r="AI59" s="63">
        <f t="shared" si="8"/>
        <v>12083.25</v>
      </c>
      <c r="AJ59" s="23"/>
      <c r="AK59" s="24"/>
    </row>
    <row r="60" spans="1:37" ht="15.75" thickBot="1" x14ac:dyDescent="0.3">
      <c r="A60" s="100"/>
      <c r="B60" s="100"/>
      <c r="C60" s="100"/>
      <c r="D60" s="100"/>
      <c r="E60" s="114"/>
      <c r="F60" s="100"/>
      <c r="G60" s="100"/>
      <c r="H60" s="100"/>
      <c r="I60" s="100"/>
      <c r="J60" s="42"/>
      <c r="K60" s="43">
        <f t="shared" ref="K60:AI60" si="9">SUM(K52:K59)</f>
        <v>9466.66</v>
      </c>
      <c r="L60" s="44">
        <f t="shared" si="9"/>
        <v>0.99669999999999992</v>
      </c>
      <c r="M60" s="43">
        <f t="shared" si="9"/>
        <v>9466.66</v>
      </c>
      <c r="N60" s="44">
        <f t="shared" si="9"/>
        <v>0.99670000000000003</v>
      </c>
      <c r="O60" s="43">
        <f t="shared" si="9"/>
        <v>9466.66</v>
      </c>
      <c r="P60" s="44">
        <f t="shared" si="9"/>
        <v>0.99670000000000003</v>
      </c>
      <c r="Q60" s="43">
        <f t="shared" si="9"/>
        <v>9466.66</v>
      </c>
      <c r="R60" s="44">
        <f t="shared" si="9"/>
        <v>0.99670000000000003</v>
      </c>
      <c r="S60" s="43">
        <f t="shared" si="9"/>
        <v>9466.66</v>
      </c>
      <c r="T60" s="44">
        <f t="shared" si="9"/>
        <v>0.99670000000000003</v>
      </c>
      <c r="U60" s="43">
        <f t="shared" si="9"/>
        <v>9466.66</v>
      </c>
      <c r="V60" s="44">
        <f t="shared" si="9"/>
        <v>0.99670000000000003</v>
      </c>
      <c r="W60" s="43">
        <f>SUM(W52:W59)</f>
        <v>9791.68</v>
      </c>
      <c r="X60" s="44">
        <f>SUM(X52:X59)</f>
        <v>0.995</v>
      </c>
      <c r="Y60" s="43">
        <f>SUM(Y52:Y59)</f>
        <v>9791.68</v>
      </c>
      <c r="Z60" s="44">
        <f>SUM(Z52:Z59)</f>
        <v>0.995</v>
      </c>
      <c r="AA60" s="43">
        <f t="shared" si="9"/>
        <v>9791.68</v>
      </c>
      <c r="AB60" s="44">
        <f t="shared" si="9"/>
        <v>0.995</v>
      </c>
      <c r="AC60" s="43">
        <f t="shared" si="9"/>
        <v>9791.68</v>
      </c>
      <c r="AD60" s="44">
        <f t="shared" si="9"/>
        <v>0.99500000000000011</v>
      </c>
      <c r="AE60" s="43">
        <f t="shared" si="9"/>
        <v>9791.68</v>
      </c>
      <c r="AF60" s="44">
        <f t="shared" si="9"/>
        <v>0.99500000000000011</v>
      </c>
      <c r="AG60" s="43">
        <f t="shared" si="9"/>
        <v>9791.68</v>
      </c>
      <c r="AH60" s="44">
        <f t="shared" si="9"/>
        <v>0.995</v>
      </c>
      <c r="AI60" s="77">
        <f t="shared" si="9"/>
        <v>115550.04</v>
      </c>
      <c r="AJ60" s="78">
        <f>SUM(AI53:AI59)</f>
        <v>94487.03</v>
      </c>
      <c r="AK60" s="79">
        <f>(AJ60/AI60)</f>
        <v>0.81771525133180401</v>
      </c>
    </row>
  </sheetData>
  <mergeCells count="71">
    <mergeCell ref="AA5:AB5"/>
    <mergeCell ref="AC5:AD5"/>
    <mergeCell ref="A5:E5"/>
    <mergeCell ref="F5:I5"/>
    <mergeCell ref="K5:L5"/>
    <mergeCell ref="M5:N5"/>
    <mergeCell ref="O5:P5"/>
    <mergeCell ref="Q5:R5"/>
    <mergeCell ref="AE16:AF16"/>
    <mergeCell ref="AG16:AH16"/>
    <mergeCell ref="AE5:AF5"/>
    <mergeCell ref="AG5:AH5"/>
    <mergeCell ref="A16:E16"/>
    <mergeCell ref="F16:I16"/>
    <mergeCell ref="K16:L16"/>
    <mergeCell ref="M16:N16"/>
    <mergeCell ref="O16:P16"/>
    <mergeCell ref="Q16:R16"/>
    <mergeCell ref="S16:T16"/>
    <mergeCell ref="U16:V16"/>
    <mergeCell ref="S5:T5"/>
    <mergeCell ref="U5:V5"/>
    <mergeCell ref="W5:X5"/>
    <mergeCell ref="Y5:Z5"/>
    <mergeCell ref="Q28:R28"/>
    <mergeCell ref="W16:X16"/>
    <mergeCell ref="Y16:Z16"/>
    <mergeCell ref="AA16:AB16"/>
    <mergeCell ref="AC16:AD16"/>
    <mergeCell ref="A28:E28"/>
    <mergeCell ref="F28:I28"/>
    <mergeCell ref="K28:L28"/>
    <mergeCell ref="M28:N28"/>
    <mergeCell ref="O28:P28"/>
    <mergeCell ref="AE28:AF28"/>
    <mergeCell ref="AG28:AH28"/>
    <mergeCell ref="A40:E40"/>
    <mergeCell ref="F40:I40"/>
    <mergeCell ref="K40:L40"/>
    <mergeCell ref="M40:N40"/>
    <mergeCell ref="O40:P40"/>
    <mergeCell ref="Q40:R40"/>
    <mergeCell ref="S40:T40"/>
    <mergeCell ref="U40:V40"/>
    <mergeCell ref="S28:T28"/>
    <mergeCell ref="U28:V28"/>
    <mergeCell ref="W28:X28"/>
    <mergeCell ref="Y28:Z28"/>
    <mergeCell ref="AA28:AB28"/>
    <mergeCell ref="AC28:AD28"/>
    <mergeCell ref="A50:E50"/>
    <mergeCell ref="F50:I50"/>
    <mergeCell ref="K50:L50"/>
    <mergeCell ref="M50:N50"/>
    <mergeCell ref="O50:P50"/>
    <mergeCell ref="AE50:AF50"/>
    <mergeCell ref="AG50:AH50"/>
    <mergeCell ref="O4:P4"/>
    <mergeCell ref="S50:T50"/>
    <mergeCell ref="U50:V50"/>
    <mergeCell ref="W50:X50"/>
    <mergeCell ref="Y50:Z50"/>
    <mergeCell ref="AA50:AB50"/>
    <mergeCell ref="AC50:AD50"/>
    <mergeCell ref="Q50:R50"/>
    <mergeCell ref="W40:X40"/>
    <mergeCell ref="Y40:Z40"/>
    <mergeCell ref="AA40:AB40"/>
    <mergeCell ref="AC40:AD40"/>
    <mergeCell ref="AE40:AF40"/>
    <mergeCell ref="AG40:AH40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6F77-5D6B-4C6B-AC7C-67445087244B}">
  <dimension ref="A1:E8"/>
  <sheetViews>
    <sheetView tabSelected="1" workbookViewId="0">
      <selection activeCell="E7" sqref="E7"/>
    </sheetView>
  </sheetViews>
  <sheetFormatPr defaultRowHeight="15" x14ac:dyDescent="0.25"/>
  <cols>
    <col min="2" max="4" width="9.7109375" bestFit="1" customWidth="1"/>
    <col min="5" max="5" width="10.7109375" bestFit="1" customWidth="1"/>
  </cols>
  <sheetData>
    <row r="1" spans="1:5" x14ac:dyDescent="0.25">
      <c r="A1" s="46" t="s">
        <v>51</v>
      </c>
      <c r="B1" s="127"/>
    </row>
    <row r="2" spans="1:5" x14ac:dyDescent="0.25">
      <c r="A2" s="46" t="s">
        <v>52</v>
      </c>
      <c r="B2" s="127"/>
    </row>
    <row r="3" spans="1:5" ht="15.75" thickBot="1" x14ac:dyDescent="0.3">
      <c r="A3" s="46"/>
      <c r="B3" s="127"/>
    </row>
    <row r="4" spans="1:5" ht="15.75" thickBot="1" x14ac:dyDescent="0.3">
      <c r="A4" s="128" t="s">
        <v>47</v>
      </c>
      <c r="B4" s="129" t="s">
        <v>43</v>
      </c>
      <c r="C4" s="129" t="s">
        <v>39</v>
      </c>
      <c r="D4" s="129" t="s">
        <v>36</v>
      </c>
      <c r="E4" s="129" t="s">
        <v>53</v>
      </c>
    </row>
    <row r="5" spans="1:5" ht="15.75" thickBot="1" x14ac:dyDescent="0.3">
      <c r="A5" s="135">
        <f>'Offset by year'!AK60</f>
        <v>0.81771525133180401</v>
      </c>
      <c r="B5" s="135">
        <f>'Offset by year'!AK48</f>
        <v>0.47527286973778321</v>
      </c>
      <c r="C5" s="130">
        <f>'Offset by year'!AK38</f>
        <v>0.65350535444947189</v>
      </c>
      <c r="D5" s="130">
        <f>'Offset by year'!AK26</f>
        <v>0.70256032713701777</v>
      </c>
      <c r="E5" s="130">
        <f>'Offset by year'!AK14</f>
        <v>0.80502785857316561</v>
      </c>
    </row>
    <row r="6" spans="1:5" x14ac:dyDescent="0.25">
      <c r="A6" s="131"/>
    </row>
    <row r="7" spans="1:5" x14ac:dyDescent="0.25">
      <c r="B7" s="133"/>
      <c r="C7" s="132"/>
      <c r="D7" s="142" t="s">
        <v>55</v>
      </c>
      <c r="E7" s="132">
        <f>AVERAGE(A5:D6)</f>
        <v>0.66226345066401926</v>
      </c>
    </row>
    <row r="8" spans="1:5" x14ac:dyDescent="0.25">
      <c r="D8" s="142" t="s">
        <v>54</v>
      </c>
      <c r="E8" s="132">
        <f>AVERAGE(A5:E5)</f>
        <v>0.69081633224584849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Offset by year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Margaret J</dc:creator>
  <cp:lastModifiedBy>Evans, Margaret J</cp:lastModifiedBy>
  <dcterms:created xsi:type="dcterms:W3CDTF">2024-07-29T19:03:35Z</dcterms:created>
  <dcterms:modified xsi:type="dcterms:W3CDTF">2024-07-29T20:14:06Z</dcterms:modified>
</cp:coreProperties>
</file>